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.sharepoint.com/sites/BigDaddyLLC/Shared Documents/Announcements/TestingDocs/Transformer/"/>
    </mc:Choice>
  </mc:AlternateContent>
  <xr:revisionPtr revIDLastSave="237" documentId="11_9F17E5BF73D2718D7F73B3185E3BC898FA47F929" xr6:coauthVersionLast="47" xr6:coauthVersionMax="47" xr10:uidLastSave="{53DA657E-2B51-4E21-B36D-BAB4C8850E93}"/>
  <bookViews>
    <workbookView xWindow="-108" yWindow="-108" windowWidth="23256" windowHeight="12456" xr2:uid="{00000000-000D-0000-FFFF-FFFF00000000}"/>
  </bookViews>
  <sheets>
    <sheet name="Rev.8 (28-1)" sheetId="4" r:id="rId1"/>
    <sheet name="Rev.7 (28-1)" sheetId="3" r:id="rId2"/>
    <sheet name="Rev.6 (28-1)" sheetId="2" r:id="rId3"/>
    <sheet name="Rev.5 (possible 28-2)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H4" i="4"/>
  <c r="K4" i="3"/>
  <c r="H4" i="3"/>
  <c r="K4" i="2"/>
  <c r="H4" i="2"/>
  <c r="H4" i="1"/>
  <c r="K4" i="1"/>
</calcChain>
</file>

<file path=xl/sharedStrings.xml><?xml version="1.0" encoding="utf-8"?>
<sst xmlns="http://schemas.openxmlformats.org/spreadsheetml/2006/main" count="120" uniqueCount="23">
  <si>
    <t>Coupling Coefficient (k)
Secondary short circuited</t>
  </si>
  <si>
    <t>Coupling Coefficient (k)
Primary short circuited</t>
  </si>
  <si>
    <t>L,p,open (µH)</t>
  </si>
  <si>
    <r>
      <t>L,s,open (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H)</t>
    </r>
  </si>
  <si>
    <t>L,sec,sc (µH)</t>
  </si>
  <si>
    <t>L,pri,sc (µH)</t>
  </si>
  <si>
    <t>k (0-1)</t>
  </si>
  <si>
    <t>Measured on KeySight E4980AL Percision LCR Meter (1V 100kHz)</t>
  </si>
  <si>
    <t>Modul</t>
  </si>
  <si>
    <t>Parameter</t>
  </si>
  <si>
    <t>Typ.</t>
  </si>
  <si>
    <t>Unit</t>
  </si>
  <si>
    <t>Inductance W1</t>
  </si>
  <si>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H</t>
    </r>
  </si>
  <si>
    <t>Stray Inductance W1</t>
  </si>
  <si>
    <t>W2 Short Circuit</t>
  </si>
  <si>
    <t>W3 Short Circuit</t>
  </si>
  <si>
    <t>Inductance</t>
  </si>
  <si>
    <t>W2 open</t>
  </si>
  <si>
    <t>W3 open</t>
  </si>
  <si>
    <t>Stray Inductance</t>
  </si>
  <si>
    <t>W2 open, W1 short circuit</t>
  </si>
  <si>
    <t>W3 open, W1 short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</si>
</sst>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3" fillId="0" borderId="0" xfId="0" applyFont="1"/>
    <xf numFmtId="0" fontId="3" fillId="0" borderId="5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0" fillId="0" borderId="10" xfId="0" applyBorder="1"/>
    <xf numFmtId="0" fontId="3" fillId="0" borderId="11" xfId="0" applyFont="1" applyBorder="1"/>
    <xf numFmtId="0" fontId="0" fillId="0" borderId="13" xfId="0" applyBorder="1"/>
    <xf numFmtId="0" fontId="3" fillId="0" borderId="14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371475</xdr:colOff>
      <xdr:row>10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F1358-8ABD-45FA-BDB8-BCC38F245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371475</xdr:colOff>
      <xdr:row>10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C9934-0008-4403-99E1-70D799EE4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2475" cy="240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371475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C0C08-920C-4A72-8266-6FC3E5E9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76775" cy="2415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371475</xdr:colOff>
      <xdr:row>11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4D7C9-24BF-939D-B1BC-FD2F82E7E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2543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C8C6-677D-44CF-A603-02BCE21280BE}">
  <dimension ref="A1:K21"/>
  <sheetViews>
    <sheetView tabSelected="1" workbookViewId="0">
      <selection activeCell="D18" sqref="D18"/>
    </sheetView>
  </sheetViews>
  <sheetFormatPr defaultRowHeight="15"/>
  <cols>
    <col min="1" max="2" width="12.140625" customWidth="1"/>
    <col min="3" max="3" width="14.28515625" bestFit="1" customWidth="1"/>
    <col min="4" max="8" width="12.140625" customWidth="1"/>
    <col min="9" max="9" width="23.28515625" customWidth="1"/>
    <col min="10" max="14" width="12.140625" customWidth="1"/>
  </cols>
  <sheetData>
    <row r="1" spans="1:11" ht="42.75" customHeight="1">
      <c r="G1" s="24" t="s">
        <v>0</v>
      </c>
      <c r="H1" s="24"/>
      <c r="I1" s="2"/>
      <c r="J1" s="24" t="s">
        <v>1</v>
      </c>
      <c r="K1" s="24"/>
    </row>
    <row r="2" spans="1:11">
      <c r="G2" t="s">
        <v>2</v>
      </c>
      <c r="H2">
        <v>161.1704</v>
      </c>
      <c r="J2" t="s">
        <v>3</v>
      </c>
    </row>
    <row r="3" spans="1:11">
      <c r="G3" s="1" t="s">
        <v>4</v>
      </c>
      <c r="H3">
        <v>58.403979999999997</v>
      </c>
      <c r="J3" s="1" t="s">
        <v>5</v>
      </c>
    </row>
    <row r="4" spans="1:11">
      <c r="G4" t="s">
        <v>6</v>
      </c>
      <c r="H4" s="3">
        <f>(SQRT(1-(H3/H2)))</f>
        <v>0.7985148036216515</v>
      </c>
      <c r="J4" t="s">
        <v>6</v>
      </c>
      <c r="K4" s="3" t="e">
        <f>(SQRT(1-(K3/K2)))</f>
        <v>#DIV/0!</v>
      </c>
    </row>
    <row r="6" spans="1:11" ht="14.45" customHeight="1">
      <c r="G6" s="15"/>
      <c r="H6" s="15"/>
    </row>
    <row r="7" spans="1:11">
      <c r="G7" s="14"/>
      <c r="H7" s="14"/>
      <c r="I7" s="1"/>
      <c r="K7" s="4"/>
    </row>
    <row r="8" spans="1:11">
      <c r="G8" s="14"/>
      <c r="H8" s="14"/>
      <c r="K8" s="4"/>
    </row>
    <row r="9" spans="1:11">
      <c r="G9" s="14"/>
      <c r="H9" s="14"/>
      <c r="K9" s="4"/>
    </row>
    <row r="10" spans="1:11">
      <c r="G10" s="14"/>
      <c r="H10" s="14"/>
      <c r="K10" s="4"/>
    </row>
    <row r="11" spans="1:11" ht="15" customHeight="1">
      <c r="G11" s="14"/>
      <c r="H11" s="14"/>
      <c r="I11" s="1"/>
      <c r="K11" s="4"/>
    </row>
    <row r="12" spans="1:11" ht="15" customHeight="1">
      <c r="G12" s="14"/>
      <c r="H12" s="14"/>
      <c r="I12" s="1"/>
      <c r="K12" s="4"/>
    </row>
    <row r="13" spans="1:11">
      <c r="A13" s="25" t="s">
        <v>7</v>
      </c>
      <c r="B13" s="26"/>
      <c r="C13" s="26"/>
      <c r="D13" s="26"/>
      <c r="E13" s="27"/>
    </row>
    <row r="14" spans="1:11">
      <c r="A14" s="28" t="s">
        <v>8</v>
      </c>
      <c r="B14" s="29"/>
      <c r="C14" s="7" t="s">
        <v>9</v>
      </c>
      <c r="D14" s="7" t="s">
        <v>10</v>
      </c>
      <c r="E14" s="9" t="s">
        <v>11</v>
      </c>
    </row>
    <row r="15" spans="1:11">
      <c r="A15" s="18" t="s">
        <v>12</v>
      </c>
      <c r="B15" s="19"/>
      <c r="C15" s="12"/>
      <c r="D15" s="12">
        <v>161.1704</v>
      </c>
      <c r="E15" s="13" t="s">
        <v>13</v>
      </c>
    </row>
    <row r="16" spans="1:11" ht="30.75">
      <c r="A16" s="20" t="s">
        <v>14</v>
      </c>
      <c r="B16" s="21"/>
      <c r="C16" s="1" t="s">
        <v>15</v>
      </c>
      <c r="D16">
        <v>58.403979999999997</v>
      </c>
      <c r="E16" s="5" t="s">
        <v>13</v>
      </c>
    </row>
    <row r="17" spans="1:5" ht="14.45" customHeight="1">
      <c r="A17" s="18"/>
      <c r="B17" s="19"/>
      <c r="C17" s="12" t="s">
        <v>16</v>
      </c>
      <c r="D17" s="12">
        <v>58.563229999999997</v>
      </c>
      <c r="E17" s="13" t="s">
        <v>13</v>
      </c>
    </row>
    <row r="18" spans="1:5">
      <c r="A18" s="16" t="s">
        <v>17</v>
      </c>
      <c r="B18" s="17"/>
      <c r="C18" s="10" t="s">
        <v>18</v>
      </c>
      <c r="E18" s="11" t="s">
        <v>13</v>
      </c>
    </row>
    <row r="19" spans="1:5">
      <c r="A19" s="18"/>
      <c r="B19" s="19"/>
      <c r="C19" s="12" t="s">
        <v>19</v>
      </c>
      <c r="D19" s="12"/>
      <c r="E19" s="13" t="s">
        <v>13</v>
      </c>
    </row>
    <row r="20" spans="1:5" ht="15" customHeight="1">
      <c r="A20" s="20" t="s">
        <v>20</v>
      </c>
      <c r="B20" s="21"/>
      <c r="C20" s="1" t="s">
        <v>21</v>
      </c>
      <c r="E20" s="5" t="s">
        <v>13</v>
      </c>
    </row>
    <row r="21" spans="1:5" ht="15" customHeight="1">
      <c r="A21" s="22"/>
      <c r="B21" s="23"/>
      <c r="C21" s="6" t="s">
        <v>22</v>
      </c>
      <c r="D21" s="7"/>
      <c r="E21" s="8" t="s">
        <v>13</v>
      </c>
    </row>
  </sheetData>
  <mergeCells count="8">
    <mergeCell ref="A18:B19"/>
    <mergeCell ref="A20:B21"/>
    <mergeCell ref="G1:H1"/>
    <mergeCell ref="J1:K1"/>
    <mergeCell ref="A13:E13"/>
    <mergeCell ref="A14:B14"/>
    <mergeCell ref="A15:B15"/>
    <mergeCell ref="A16:B17"/>
  </mergeCells>
  <conditionalFormatting sqref="H4 K4">
    <cfRule type="colorScale" priority="1">
      <colorScale>
        <cfvo type="num" val="0"/>
        <cfvo type="num" val="1"/>
        <color rgb="FFFF7128"/>
        <color theme="9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DA11-F25C-434E-83C5-50FB795B1DCF}">
  <dimension ref="A1:K21"/>
  <sheetViews>
    <sheetView workbookViewId="0">
      <selection activeCell="H4" sqref="H4"/>
    </sheetView>
  </sheetViews>
  <sheetFormatPr defaultRowHeight="15"/>
  <cols>
    <col min="1" max="2" width="12.140625" customWidth="1"/>
    <col min="3" max="3" width="14.28515625" bestFit="1" customWidth="1"/>
    <col min="4" max="8" width="12.140625" customWidth="1"/>
    <col min="9" max="9" width="23.28515625" customWidth="1"/>
    <col min="10" max="14" width="12.140625" customWidth="1"/>
  </cols>
  <sheetData>
    <row r="1" spans="1:11" ht="42.75" customHeight="1">
      <c r="G1" s="24" t="s">
        <v>0</v>
      </c>
      <c r="H1" s="24"/>
      <c r="I1" s="2"/>
      <c r="J1" s="24" t="s">
        <v>1</v>
      </c>
      <c r="K1" s="24"/>
    </row>
    <row r="2" spans="1:11">
      <c r="G2" t="s">
        <v>2</v>
      </c>
      <c r="H2">
        <v>163</v>
      </c>
      <c r="J2" t="s">
        <v>3</v>
      </c>
    </row>
    <row r="3" spans="1:11">
      <c r="G3" s="1" t="s">
        <v>4</v>
      </c>
      <c r="H3">
        <v>76</v>
      </c>
      <c r="J3" s="1" t="s">
        <v>5</v>
      </c>
    </row>
    <row r="4" spans="1:11">
      <c r="G4" t="s">
        <v>6</v>
      </c>
      <c r="H4" s="3">
        <f>(SQRT(1-(H3/H2)))</f>
        <v>0.73057671143305924</v>
      </c>
      <c r="J4" t="s">
        <v>6</v>
      </c>
      <c r="K4" s="3" t="e">
        <f>(SQRT(1-(K3/K2)))</f>
        <v>#DIV/0!</v>
      </c>
    </row>
    <row r="6" spans="1:11" ht="14.45" customHeight="1">
      <c r="G6" s="15"/>
      <c r="H6" s="15"/>
    </row>
    <row r="7" spans="1:11">
      <c r="G7" s="14"/>
      <c r="H7" s="14"/>
      <c r="I7" s="1"/>
      <c r="K7" s="4"/>
    </row>
    <row r="8" spans="1:11">
      <c r="G8" s="14"/>
      <c r="H8" s="14"/>
      <c r="K8" s="4"/>
    </row>
    <row r="9" spans="1:11">
      <c r="G9" s="14"/>
      <c r="H9" s="14"/>
      <c r="K9" s="4"/>
    </row>
    <row r="10" spans="1:11">
      <c r="G10" s="14"/>
      <c r="H10" s="14"/>
      <c r="K10" s="4"/>
    </row>
    <row r="11" spans="1:11" ht="15" customHeight="1">
      <c r="G11" s="14"/>
      <c r="H11" s="14"/>
      <c r="I11" s="1"/>
      <c r="K11" s="4"/>
    </row>
    <row r="12" spans="1:11" ht="15" customHeight="1">
      <c r="G12" s="14"/>
      <c r="H12" s="14"/>
      <c r="I12" s="1"/>
      <c r="K12" s="4"/>
    </row>
    <row r="13" spans="1:11">
      <c r="A13" s="25" t="s">
        <v>7</v>
      </c>
      <c r="B13" s="26"/>
      <c r="C13" s="26"/>
      <c r="D13" s="26"/>
      <c r="E13" s="27"/>
    </row>
    <row r="14" spans="1:11">
      <c r="A14" s="28" t="s">
        <v>8</v>
      </c>
      <c r="B14" s="29"/>
      <c r="C14" s="7" t="s">
        <v>9</v>
      </c>
      <c r="D14" s="7" t="s">
        <v>10</v>
      </c>
      <c r="E14" s="9" t="s">
        <v>11</v>
      </c>
    </row>
    <row r="15" spans="1:11">
      <c r="A15" s="18" t="s">
        <v>12</v>
      </c>
      <c r="B15" s="19"/>
      <c r="C15" s="12"/>
      <c r="D15" s="12">
        <v>163</v>
      </c>
      <c r="E15" s="13" t="s">
        <v>13</v>
      </c>
    </row>
    <row r="16" spans="1:11" ht="30.75">
      <c r="A16" s="20" t="s">
        <v>14</v>
      </c>
      <c r="B16" s="21"/>
      <c r="C16" s="1" t="s">
        <v>15</v>
      </c>
      <c r="D16">
        <v>76</v>
      </c>
      <c r="E16" s="5" t="s">
        <v>13</v>
      </c>
    </row>
    <row r="17" spans="1:5" ht="14.45" customHeight="1">
      <c r="A17" s="18"/>
      <c r="B17" s="19"/>
      <c r="C17" s="12" t="s">
        <v>16</v>
      </c>
      <c r="D17" s="12">
        <v>80</v>
      </c>
      <c r="E17" s="13" t="s">
        <v>13</v>
      </c>
    </row>
    <row r="18" spans="1:5">
      <c r="A18" s="16" t="s">
        <v>17</v>
      </c>
      <c r="B18" s="17"/>
      <c r="C18" s="10" t="s">
        <v>18</v>
      </c>
      <c r="E18" s="11" t="s">
        <v>13</v>
      </c>
    </row>
    <row r="19" spans="1:5">
      <c r="A19" s="18"/>
      <c r="B19" s="19"/>
      <c r="C19" s="12" t="s">
        <v>19</v>
      </c>
      <c r="D19" s="12"/>
      <c r="E19" s="13" t="s">
        <v>13</v>
      </c>
    </row>
    <row r="20" spans="1:5" ht="15" customHeight="1">
      <c r="A20" s="20" t="s">
        <v>20</v>
      </c>
      <c r="B20" s="21"/>
      <c r="C20" s="1" t="s">
        <v>21</v>
      </c>
      <c r="E20" s="5" t="s">
        <v>13</v>
      </c>
    </row>
    <row r="21" spans="1:5" ht="15" customHeight="1">
      <c r="A21" s="22"/>
      <c r="B21" s="23"/>
      <c r="C21" s="6" t="s">
        <v>22</v>
      </c>
      <c r="D21" s="7"/>
      <c r="E21" s="8" t="s">
        <v>13</v>
      </c>
    </row>
  </sheetData>
  <mergeCells count="8">
    <mergeCell ref="A18:B19"/>
    <mergeCell ref="A20:B21"/>
    <mergeCell ref="G1:H1"/>
    <mergeCell ref="J1:K1"/>
    <mergeCell ref="A13:E13"/>
    <mergeCell ref="A14:B14"/>
    <mergeCell ref="A15:B15"/>
    <mergeCell ref="A16:B17"/>
  </mergeCells>
  <conditionalFormatting sqref="H4 K4">
    <cfRule type="colorScale" priority="1">
      <colorScale>
        <cfvo type="num" val="0"/>
        <cfvo type="num" val="1"/>
        <color rgb="FFFF7128"/>
        <color theme="9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29CF5-8902-4C83-97AF-9EDDEA6BFA56}">
  <dimension ref="A1:K21"/>
  <sheetViews>
    <sheetView workbookViewId="0">
      <selection activeCell="F19" sqref="F19"/>
    </sheetView>
  </sheetViews>
  <sheetFormatPr defaultRowHeight="14.45"/>
  <cols>
    <col min="1" max="2" width="12.140625" customWidth="1"/>
    <col min="3" max="3" width="14.28515625" bestFit="1" customWidth="1"/>
    <col min="4" max="8" width="12.140625" customWidth="1"/>
    <col min="9" max="9" width="23.28515625" customWidth="1"/>
    <col min="10" max="14" width="12.140625" customWidth="1"/>
  </cols>
  <sheetData>
    <row r="1" spans="1:11" ht="42.75" customHeight="1">
      <c r="G1" s="24" t="s">
        <v>0</v>
      </c>
      <c r="H1" s="24"/>
      <c r="I1" s="2"/>
      <c r="J1" s="24" t="s">
        <v>1</v>
      </c>
      <c r="K1" s="24"/>
    </row>
    <row r="2" spans="1:11">
      <c r="G2" t="s">
        <v>2</v>
      </c>
      <c r="H2">
        <v>147</v>
      </c>
      <c r="J2" t="s">
        <v>3</v>
      </c>
    </row>
    <row r="3" spans="1:11">
      <c r="G3" s="1" t="s">
        <v>4</v>
      </c>
      <c r="H3">
        <v>104</v>
      </c>
      <c r="J3" s="1" t="s">
        <v>5</v>
      </c>
    </row>
    <row r="4" spans="1:11">
      <c r="G4" t="s">
        <v>6</v>
      </c>
      <c r="H4" s="3">
        <f>(SQRT(1-(H3/H2)))</f>
        <v>0.54084841388574034</v>
      </c>
      <c r="J4" t="s">
        <v>6</v>
      </c>
      <c r="K4" s="3" t="e">
        <f>(SQRT(1-(K3/K2)))</f>
        <v>#DIV/0!</v>
      </c>
    </row>
    <row r="6" spans="1:11" ht="14.45" customHeight="1">
      <c r="G6" s="15"/>
      <c r="H6" s="15"/>
    </row>
    <row r="7" spans="1:11">
      <c r="G7" s="14"/>
      <c r="H7" s="14"/>
      <c r="I7" s="1"/>
      <c r="K7" s="4"/>
    </row>
    <row r="8" spans="1:11">
      <c r="G8" s="14"/>
      <c r="H8" s="14"/>
      <c r="K8" s="4"/>
    </row>
    <row r="9" spans="1:11">
      <c r="G9" s="14"/>
      <c r="H9" s="14"/>
      <c r="K9" s="4"/>
    </row>
    <row r="10" spans="1:11">
      <c r="G10" s="14"/>
      <c r="H10" s="14"/>
      <c r="K10" s="4"/>
    </row>
    <row r="11" spans="1:11" ht="15" customHeight="1">
      <c r="G11" s="14"/>
      <c r="H11" s="14"/>
      <c r="I11" s="1"/>
      <c r="K11" s="4"/>
    </row>
    <row r="12" spans="1:11" ht="15" customHeight="1" thickBot="1">
      <c r="G12" s="14"/>
      <c r="H12" s="14"/>
      <c r="I12" s="1"/>
      <c r="K12" s="4"/>
    </row>
    <row r="13" spans="1:11">
      <c r="A13" s="25" t="s">
        <v>7</v>
      </c>
      <c r="B13" s="26"/>
      <c r="C13" s="26"/>
      <c r="D13" s="26"/>
      <c r="E13" s="27"/>
    </row>
    <row r="14" spans="1:11" ht="15" thickBot="1">
      <c r="A14" s="28" t="s">
        <v>8</v>
      </c>
      <c r="B14" s="29"/>
      <c r="C14" s="7" t="s">
        <v>9</v>
      </c>
      <c r="D14" s="7" t="s">
        <v>10</v>
      </c>
      <c r="E14" s="9" t="s">
        <v>11</v>
      </c>
    </row>
    <row r="15" spans="1:11">
      <c r="A15" s="18" t="s">
        <v>12</v>
      </c>
      <c r="B15" s="19"/>
      <c r="C15" s="12"/>
      <c r="D15" s="12">
        <v>147.85400000000001</v>
      </c>
      <c r="E15" s="13" t="s">
        <v>13</v>
      </c>
    </row>
    <row r="16" spans="1:11">
      <c r="A16" s="20" t="s">
        <v>14</v>
      </c>
      <c r="B16" s="21"/>
      <c r="C16" s="1" t="s">
        <v>15</v>
      </c>
      <c r="D16">
        <v>104</v>
      </c>
      <c r="E16" s="5" t="s">
        <v>13</v>
      </c>
    </row>
    <row r="17" spans="1:5" ht="14.45" customHeight="1">
      <c r="A17" s="18"/>
      <c r="B17" s="19"/>
      <c r="C17" s="12" t="s">
        <v>16</v>
      </c>
      <c r="D17" s="12"/>
      <c r="E17" s="13" t="s">
        <v>13</v>
      </c>
    </row>
    <row r="18" spans="1:5">
      <c r="A18" s="16" t="s">
        <v>17</v>
      </c>
      <c r="B18" s="17"/>
      <c r="C18" s="10" t="s">
        <v>18</v>
      </c>
      <c r="E18" s="11" t="s">
        <v>13</v>
      </c>
    </row>
    <row r="19" spans="1:5">
      <c r="A19" s="18"/>
      <c r="B19" s="19"/>
      <c r="C19" s="12" t="s">
        <v>19</v>
      </c>
      <c r="D19" s="12"/>
      <c r="E19" s="13" t="s">
        <v>13</v>
      </c>
    </row>
    <row r="20" spans="1:5" ht="15" customHeight="1">
      <c r="A20" s="20" t="s">
        <v>20</v>
      </c>
      <c r="B20" s="21"/>
      <c r="C20" s="1" t="s">
        <v>21</v>
      </c>
      <c r="E20" s="5" t="s">
        <v>13</v>
      </c>
    </row>
    <row r="21" spans="1:5" ht="15" customHeight="1" thickBot="1">
      <c r="A21" s="22"/>
      <c r="B21" s="23"/>
      <c r="C21" s="6" t="s">
        <v>22</v>
      </c>
      <c r="D21" s="7"/>
      <c r="E21" s="8" t="s">
        <v>13</v>
      </c>
    </row>
  </sheetData>
  <mergeCells count="8">
    <mergeCell ref="A18:B19"/>
    <mergeCell ref="A20:B21"/>
    <mergeCell ref="G1:H1"/>
    <mergeCell ref="J1:K1"/>
    <mergeCell ref="A13:E13"/>
    <mergeCell ref="A14:B14"/>
    <mergeCell ref="A15:B15"/>
    <mergeCell ref="A16:B17"/>
  </mergeCells>
  <conditionalFormatting sqref="H4 K4">
    <cfRule type="colorScale" priority="1">
      <colorScale>
        <cfvo type="num" val="0"/>
        <cfvo type="num" val="1"/>
        <color rgb="FFFF7128"/>
        <color theme="9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I9" sqref="I9"/>
    </sheetView>
  </sheetViews>
  <sheetFormatPr defaultRowHeight="14.45"/>
  <cols>
    <col min="1" max="2" width="12.140625" customWidth="1"/>
    <col min="3" max="3" width="14.28515625" bestFit="1" customWidth="1"/>
    <col min="4" max="8" width="12.140625" customWidth="1"/>
    <col min="9" max="9" width="23.28515625" customWidth="1"/>
    <col min="10" max="14" width="12.140625" customWidth="1"/>
  </cols>
  <sheetData>
    <row r="1" spans="1:11" ht="42.75" customHeight="1">
      <c r="G1" s="24" t="s">
        <v>0</v>
      </c>
      <c r="H1" s="24"/>
      <c r="I1" s="2"/>
      <c r="J1" s="24" t="s">
        <v>1</v>
      </c>
      <c r="K1" s="24"/>
    </row>
    <row r="2" spans="1:11">
      <c r="G2" t="s">
        <v>2</v>
      </c>
      <c r="H2">
        <v>163.07599999999999</v>
      </c>
      <c r="J2" t="s">
        <v>3</v>
      </c>
    </row>
    <row r="3" spans="1:11">
      <c r="G3" s="1" t="s">
        <v>4</v>
      </c>
      <c r="H3">
        <v>54.557000000000002</v>
      </c>
      <c r="J3" s="1" t="s">
        <v>5</v>
      </c>
    </row>
    <row r="4" spans="1:11">
      <c r="G4" t="s">
        <v>6</v>
      </c>
      <c r="H4" s="3">
        <f>(SQRT(1-(H3/H2)))</f>
        <v>0.81575147245588941</v>
      </c>
      <c r="J4" t="s">
        <v>6</v>
      </c>
      <c r="K4" s="3" t="e">
        <f>(SQRT(1-(K3/K2)))</f>
        <v>#DIV/0!</v>
      </c>
    </row>
    <row r="6" spans="1:11" ht="14.45" customHeight="1">
      <c r="G6" s="15"/>
      <c r="H6" s="15"/>
    </row>
    <row r="7" spans="1:11">
      <c r="G7" s="14"/>
      <c r="H7" s="14"/>
      <c r="I7" s="1"/>
      <c r="K7" s="4"/>
    </row>
    <row r="8" spans="1:11">
      <c r="G8" s="14"/>
      <c r="H8" s="14"/>
      <c r="K8" s="4"/>
    </row>
    <row r="9" spans="1:11">
      <c r="G9" s="14"/>
      <c r="H9" s="14"/>
      <c r="K9" s="4"/>
    </row>
    <row r="10" spans="1:11">
      <c r="G10" s="14"/>
      <c r="H10" s="14"/>
      <c r="K10" s="4"/>
    </row>
    <row r="11" spans="1:11" ht="15" customHeight="1">
      <c r="G11" s="14"/>
      <c r="H11" s="14"/>
      <c r="I11" s="1"/>
      <c r="K11" s="4"/>
    </row>
    <row r="12" spans="1:11" ht="15" customHeight="1" thickBot="1">
      <c r="G12" s="14"/>
      <c r="H12" s="14"/>
      <c r="I12" s="1"/>
      <c r="K12" s="4"/>
    </row>
    <row r="13" spans="1:11">
      <c r="A13" s="25" t="s">
        <v>7</v>
      </c>
      <c r="B13" s="26"/>
      <c r="C13" s="26"/>
      <c r="D13" s="26"/>
      <c r="E13" s="27"/>
    </row>
    <row r="14" spans="1:11" ht="15" thickBot="1">
      <c r="A14" s="28" t="s">
        <v>8</v>
      </c>
      <c r="B14" s="29"/>
      <c r="C14" s="7" t="s">
        <v>9</v>
      </c>
      <c r="D14" s="7" t="s">
        <v>10</v>
      </c>
      <c r="E14" s="9" t="s">
        <v>11</v>
      </c>
    </row>
    <row r="15" spans="1:11">
      <c r="A15" s="18" t="s">
        <v>12</v>
      </c>
      <c r="B15" s="19"/>
      <c r="C15" s="12"/>
      <c r="D15" s="12">
        <v>162.73699999999999</v>
      </c>
      <c r="E15" s="13" t="s">
        <v>13</v>
      </c>
    </row>
    <row r="16" spans="1:11">
      <c r="A16" s="20" t="s">
        <v>14</v>
      </c>
      <c r="B16" s="21"/>
      <c r="C16" s="1" t="s">
        <v>15</v>
      </c>
      <c r="D16">
        <v>54.052999999999997</v>
      </c>
      <c r="E16" s="5" t="s">
        <v>13</v>
      </c>
    </row>
    <row r="17" spans="1:5" ht="14.45" customHeight="1">
      <c r="A17" s="18"/>
      <c r="B17" s="19"/>
      <c r="C17" s="12" t="s">
        <v>16</v>
      </c>
      <c r="D17" s="12">
        <v>53.052999999999997</v>
      </c>
      <c r="E17" s="13" t="s">
        <v>13</v>
      </c>
    </row>
    <row r="18" spans="1:5">
      <c r="A18" s="16" t="s">
        <v>17</v>
      </c>
      <c r="B18" s="17"/>
      <c r="C18" s="10" t="s">
        <v>18</v>
      </c>
      <c r="D18">
        <v>1.109</v>
      </c>
      <c r="E18" s="11" t="s">
        <v>13</v>
      </c>
    </row>
    <row r="19" spans="1:5">
      <c r="A19" s="18"/>
      <c r="B19" s="19"/>
      <c r="C19" s="12" t="s">
        <v>19</v>
      </c>
      <c r="D19" s="12">
        <v>1.0589999999999999</v>
      </c>
      <c r="E19" s="13" t="s">
        <v>13</v>
      </c>
    </row>
    <row r="20" spans="1:5" ht="15" customHeight="1">
      <c r="A20" s="20" t="s">
        <v>20</v>
      </c>
      <c r="B20" s="21"/>
      <c r="C20" s="1" t="s">
        <v>21</v>
      </c>
      <c r="D20">
        <v>0.124</v>
      </c>
      <c r="E20" s="5" t="s">
        <v>13</v>
      </c>
    </row>
    <row r="21" spans="1:5" ht="15" customHeight="1" thickBot="1">
      <c r="A21" s="22"/>
      <c r="B21" s="23"/>
      <c r="C21" s="6" t="s">
        <v>22</v>
      </c>
      <c r="D21" s="7">
        <v>0.122</v>
      </c>
      <c r="E21" s="8" t="s">
        <v>13</v>
      </c>
    </row>
  </sheetData>
  <mergeCells count="8">
    <mergeCell ref="A20:B21"/>
    <mergeCell ref="G1:H1"/>
    <mergeCell ref="J1:K1"/>
    <mergeCell ref="A13:E13"/>
    <mergeCell ref="A16:B17"/>
    <mergeCell ref="A14:B14"/>
    <mergeCell ref="A15:B15"/>
    <mergeCell ref="A18:B19"/>
  </mergeCells>
  <conditionalFormatting sqref="H4 K4">
    <cfRule type="colorScale" priority="1">
      <colorScale>
        <cfvo type="num" val="0"/>
        <cfvo type="num" val="1"/>
        <color rgb="FFFF7128"/>
        <color theme="9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9B3B70-330E-48EA-BE5B-6A1CD5A12856}"/>
</file>

<file path=customXml/itemProps2.xml><?xml version="1.0" encoding="utf-8"?>
<ds:datastoreItem xmlns:ds="http://schemas.openxmlformats.org/officeDocument/2006/customXml" ds:itemID="{F27B51EB-73CF-4C10-A574-116B10747FF1}"/>
</file>

<file path=customXml/itemProps3.xml><?xml version="1.0" encoding="utf-8"?>
<ds:datastoreItem xmlns:ds="http://schemas.openxmlformats.org/officeDocument/2006/customXml" ds:itemID="{B0D98DDC-6052-4F4E-819F-A2A101849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Kanne, Hunter W</cp:lastModifiedBy>
  <cp:revision/>
  <dcterms:created xsi:type="dcterms:W3CDTF">2026-02-07T00:58:11Z</dcterms:created>
  <dcterms:modified xsi:type="dcterms:W3CDTF">2026-04-09T19:41:23Z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