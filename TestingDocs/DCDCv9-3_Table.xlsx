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cmrez\Downloads\"/>
    </mc:Choice>
  </mc:AlternateContent>
  <xr:revisionPtr revIDLastSave="4" documentId="13_ncr:1_{B3A1E29A-3732-47CD-A963-F935554B009F}" xr6:coauthVersionLast="47" xr6:coauthVersionMax="47" xr10:uidLastSave="{E23F4123-07CA-4B11-AAF1-80355AE250DC}"/>
  <bookViews>
    <workbookView xWindow="4584" yWindow="17172" windowWidth="23256" windowHeight="13896" firstSheet="3" activeTab="1" xr2:uid="{00000000-000D-0000-FFFF-FFFF00000000}"/>
  </bookViews>
  <sheets>
    <sheet name="Notes" sheetId="1" r:id="rId1"/>
    <sheet name="Checklist v9-3" sheetId="2" r:id="rId2"/>
    <sheet name="Checklist empty" sheetId="3" r:id="rId3"/>
    <sheet name="essential Checklist" sheetId="4" r:id="rId4"/>
    <sheet name="essential Checklist empty" sheetId="5" r:id="rId5"/>
    <sheet name="Measurements Table example" sheetId="6" r:id="rId6"/>
    <sheet name="Measurements Table empty" sheetId="7" r:id="rId7"/>
    <sheet name="Measurements Table v9-3" sheetId="8" r:id="rId8"/>
    <sheet name="Calculations" sheetId="9" r:id="rId9"/>
    <sheet name="FET Selection" sheetId="10" r:id="rId10"/>
  </sheets>
  <definedNames>
    <definedName name="_xlnm._FilterDatabase" localSheetId="2" hidden="1">'Checklist empty'!$B$3:$AF$3</definedName>
    <definedName name="_xlnm._FilterDatabase" localSheetId="1" hidden="1">'Checklist v9-3'!$B$3:$AF$3</definedName>
    <definedName name="_xlnm._FilterDatabase" localSheetId="3" hidden="1">'essential Checklist'!$B$3:$AF$3</definedName>
    <definedName name="_xlnm._FilterDatabase" localSheetId="4" hidden="1">'essential Checklist empty'!$B$3:$AF$3</definedName>
    <definedName name="_xlnm._FilterDatabase" localSheetId="9" hidden="1">'FET Selection'!$A$7:$M$35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9" l="1"/>
  <c r="G29" i="9" s="1"/>
  <c r="G28" i="9"/>
  <c r="G30" i="9"/>
  <c r="P79" i="10"/>
  <c r="O79" i="10"/>
  <c r="N79" i="10"/>
  <c r="M79" i="10"/>
  <c r="L79" i="10"/>
  <c r="O78" i="10"/>
  <c r="P78" i="10" s="1"/>
  <c r="N78" i="10"/>
  <c r="M78" i="10"/>
  <c r="L78" i="10"/>
  <c r="O77" i="10"/>
  <c r="N77" i="10"/>
  <c r="M77" i="10"/>
  <c r="P77" i="10" s="1"/>
  <c r="L77" i="10"/>
  <c r="P76" i="10"/>
  <c r="O76" i="10"/>
  <c r="N76" i="10"/>
  <c r="M76" i="10"/>
  <c r="L76" i="10"/>
  <c r="P75" i="10"/>
  <c r="O75" i="10"/>
  <c r="N75" i="10"/>
  <c r="M75" i="10"/>
  <c r="L75" i="10"/>
  <c r="O74" i="10"/>
  <c r="P74" i="10" s="1"/>
  <c r="N74" i="10"/>
  <c r="M74" i="10"/>
  <c r="L74" i="10"/>
  <c r="O73" i="10"/>
  <c r="N73" i="10"/>
  <c r="M73" i="10"/>
  <c r="P73" i="10" s="1"/>
  <c r="L73" i="10"/>
  <c r="P72" i="10"/>
  <c r="O72" i="10"/>
  <c r="N72" i="10"/>
  <c r="M72" i="10"/>
  <c r="L72" i="10"/>
  <c r="P71" i="10"/>
  <c r="O71" i="10"/>
  <c r="N71" i="10"/>
  <c r="M71" i="10"/>
  <c r="L71" i="10"/>
  <c r="O70" i="10"/>
  <c r="P70" i="10" s="1"/>
  <c r="N70" i="10"/>
  <c r="M70" i="10"/>
  <c r="L70" i="10"/>
  <c r="O69" i="10"/>
  <c r="N69" i="10"/>
  <c r="M69" i="10"/>
  <c r="L69" i="10"/>
  <c r="P68" i="10"/>
  <c r="O68" i="10"/>
  <c r="N68" i="10"/>
  <c r="M68" i="10"/>
  <c r="L68" i="10"/>
  <c r="P67" i="10"/>
  <c r="O67" i="10"/>
  <c r="N67" i="10"/>
  <c r="M67" i="10"/>
  <c r="L67" i="10"/>
  <c r="O66" i="10"/>
  <c r="P66" i="10" s="1"/>
  <c r="N66" i="10"/>
  <c r="M66" i="10"/>
  <c r="L66" i="10"/>
  <c r="O65" i="10"/>
  <c r="N65" i="10"/>
  <c r="M65" i="10"/>
  <c r="P65" i="10" s="1"/>
  <c r="L65" i="10"/>
  <c r="P64" i="10"/>
  <c r="O64" i="10"/>
  <c r="N64" i="10"/>
  <c r="M64" i="10"/>
  <c r="L64" i="10"/>
  <c r="P63" i="10"/>
  <c r="O63" i="10"/>
  <c r="N63" i="10"/>
  <c r="M63" i="10"/>
  <c r="L63" i="10"/>
  <c r="O62" i="10"/>
  <c r="P62" i="10" s="1"/>
  <c r="N62" i="10"/>
  <c r="M62" i="10"/>
  <c r="L62" i="10"/>
  <c r="O61" i="10"/>
  <c r="N61" i="10"/>
  <c r="M61" i="10"/>
  <c r="P61" i="10" s="1"/>
  <c r="L61" i="10"/>
  <c r="P60" i="10"/>
  <c r="O60" i="10"/>
  <c r="N60" i="10"/>
  <c r="M60" i="10"/>
  <c r="L60" i="10"/>
  <c r="P59" i="10"/>
  <c r="O59" i="10"/>
  <c r="N59" i="10"/>
  <c r="M59" i="10"/>
  <c r="L59" i="10"/>
  <c r="O58" i="10"/>
  <c r="P58" i="10" s="1"/>
  <c r="N58" i="10"/>
  <c r="M58" i="10"/>
  <c r="L58" i="10"/>
  <c r="O57" i="10"/>
  <c r="N57" i="10"/>
  <c r="M57" i="10"/>
  <c r="L57" i="10"/>
  <c r="P56" i="10"/>
  <c r="O56" i="10"/>
  <c r="N56" i="10"/>
  <c r="M56" i="10"/>
  <c r="L56" i="10"/>
  <c r="P55" i="10"/>
  <c r="O55" i="10"/>
  <c r="N55" i="10"/>
  <c r="M55" i="10"/>
  <c r="L55" i="10"/>
  <c r="O54" i="10"/>
  <c r="P54" i="10" s="1"/>
  <c r="N54" i="10"/>
  <c r="M54" i="10"/>
  <c r="L54" i="10"/>
  <c r="O53" i="10"/>
  <c r="N53" i="10"/>
  <c r="M53" i="10"/>
  <c r="P53" i="10" s="1"/>
  <c r="L53" i="10"/>
  <c r="P52" i="10"/>
  <c r="O52" i="10"/>
  <c r="N52" i="10"/>
  <c r="M52" i="10"/>
  <c r="L52" i="10"/>
  <c r="P51" i="10"/>
  <c r="O51" i="10"/>
  <c r="N51" i="10"/>
  <c r="M51" i="10"/>
  <c r="L51" i="10"/>
  <c r="O50" i="10"/>
  <c r="P50" i="10" s="1"/>
  <c r="N50" i="10"/>
  <c r="M50" i="10"/>
  <c r="L50" i="10"/>
  <c r="O49" i="10"/>
  <c r="N49" i="10"/>
  <c r="M49" i="10"/>
  <c r="P49" i="10" s="1"/>
  <c r="L49" i="10"/>
  <c r="P48" i="10"/>
  <c r="O48" i="10"/>
  <c r="N48" i="10"/>
  <c r="M48" i="10"/>
  <c r="L48" i="10"/>
  <c r="P47" i="10"/>
  <c r="O47" i="10"/>
  <c r="N47" i="10"/>
  <c r="M47" i="10"/>
  <c r="L47" i="10"/>
  <c r="O46" i="10"/>
  <c r="P46" i="10" s="1"/>
  <c r="N46" i="10"/>
  <c r="M46" i="10"/>
  <c r="L46" i="10"/>
  <c r="J35" i="10"/>
  <c r="I35" i="10"/>
  <c r="K35" i="10" s="1"/>
  <c r="H35" i="10"/>
  <c r="G35" i="10"/>
  <c r="K34" i="10"/>
  <c r="J34" i="10"/>
  <c r="M34" i="10" s="1"/>
  <c r="I34" i="10"/>
  <c r="L34" i="10" s="1"/>
  <c r="H34" i="10"/>
  <c r="G34" i="10"/>
  <c r="J33" i="10"/>
  <c r="I33" i="10"/>
  <c r="H33" i="10"/>
  <c r="M33" i="10" s="1"/>
  <c r="G33" i="10"/>
  <c r="J32" i="10"/>
  <c r="M32" i="10" s="1"/>
  <c r="I32" i="10"/>
  <c r="H32" i="10"/>
  <c r="G32" i="10"/>
  <c r="L31" i="10"/>
  <c r="K31" i="10"/>
  <c r="J31" i="10"/>
  <c r="M31" i="10" s="1"/>
  <c r="I31" i="10"/>
  <c r="H31" i="10"/>
  <c r="G31" i="10"/>
  <c r="J30" i="10"/>
  <c r="I30" i="10"/>
  <c r="H30" i="10"/>
  <c r="K30" i="10" s="1"/>
  <c r="G30" i="10"/>
  <c r="L29" i="10"/>
  <c r="J29" i="10"/>
  <c r="M29" i="10" s="1"/>
  <c r="I29" i="10"/>
  <c r="H29" i="10"/>
  <c r="G29" i="10"/>
  <c r="M28" i="10"/>
  <c r="J28" i="10"/>
  <c r="I28" i="10"/>
  <c r="H28" i="10"/>
  <c r="L28" i="10" s="1"/>
  <c r="G28" i="10"/>
  <c r="M27" i="10"/>
  <c r="J27" i="10"/>
  <c r="I27" i="10"/>
  <c r="H27" i="10"/>
  <c r="G27" i="10"/>
  <c r="M26" i="10"/>
  <c r="L26" i="10"/>
  <c r="K26" i="10"/>
  <c r="J26" i="10"/>
  <c r="I26" i="10"/>
  <c r="H26" i="10"/>
  <c r="G26" i="10"/>
  <c r="J25" i="10"/>
  <c r="I25" i="10"/>
  <c r="H25" i="10"/>
  <c r="G25" i="10"/>
  <c r="K24" i="10"/>
  <c r="J24" i="10"/>
  <c r="I24" i="10"/>
  <c r="H24" i="10"/>
  <c r="G24" i="10"/>
  <c r="M23" i="10"/>
  <c r="L23" i="10"/>
  <c r="J23" i="10"/>
  <c r="I23" i="10"/>
  <c r="H23" i="10"/>
  <c r="K23" i="10" s="1"/>
  <c r="G23" i="10"/>
  <c r="J22" i="10"/>
  <c r="I22" i="10"/>
  <c r="H22" i="10"/>
  <c r="G22" i="10"/>
  <c r="J21" i="10"/>
  <c r="I21" i="10"/>
  <c r="H21" i="10"/>
  <c r="G21" i="10"/>
  <c r="M20" i="10"/>
  <c r="J20" i="10"/>
  <c r="I20" i="10"/>
  <c r="H20" i="10"/>
  <c r="L20" i="10" s="1"/>
  <c r="G20" i="10"/>
  <c r="J19" i="10"/>
  <c r="I19" i="10"/>
  <c r="H19" i="10"/>
  <c r="G19" i="10"/>
  <c r="J18" i="10"/>
  <c r="I18" i="10"/>
  <c r="H18" i="10"/>
  <c r="M18" i="10" s="1"/>
  <c r="G18" i="10"/>
  <c r="J17" i="10"/>
  <c r="I17" i="10"/>
  <c r="H17" i="10"/>
  <c r="G17" i="10"/>
  <c r="L16" i="10"/>
  <c r="J16" i="10"/>
  <c r="K16" i="10" s="1"/>
  <c r="I16" i="10"/>
  <c r="H16" i="10"/>
  <c r="G16" i="10"/>
  <c r="J15" i="10"/>
  <c r="M15" i="10" s="1"/>
  <c r="I15" i="10"/>
  <c r="K15" i="10" s="1"/>
  <c r="H15" i="10"/>
  <c r="L15" i="10" s="1"/>
  <c r="G15" i="10"/>
  <c r="K14" i="10"/>
  <c r="J14" i="10"/>
  <c r="M14" i="10" s="1"/>
  <c r="I14" i="10"/>
  <c r="L14" i="10" s="1"/>
  <c r="H14" i="10"/>
  <c r="G14" i="10"/>
  <c r="L13" i="10"/>
  <c r="K13" i="10"/>
  <c r="J13" i="10"/>
  <c r="I13" i="10"/>
  <c r="H13" i="10"/>
  <c r="M13" i="10" s="1"/>
  <c r="G13" i="10"/>
  <c r="M12" i="10"/>
  <c r="L12" i="10"/>
  <c r="K12" i="10"/>
  <c r="J12" i="10"/>
  <c r="I12" i="10"/>
  <c r="H12" i="10"/>
  <c r="G12" i="10"/>
  <c r="L11" i="10"/>
  <c r="K11" i="10"/>
  <c r="J11" i="10"/>
  <c r="M11" i="10" s="1"/>
  <c r="I11" i="10"/>
  <c r="H11" i="10"/>
  <c r="G11" i="10"/>
  <c r="M10" i="10"/>
  <c r="L10" i="10"/>
  <c r="J10" i="10"/>
  <c r="I10" i="10"/>
  <c r="H10" i="10"/>
  <c r="K10" i="10" s="1"/>
  <c r="G10" i="10"/>
  <c r="M9" i="10"/>
  <c r="L9" i="10"/>
  <c r="J9" i="10"/>
  <c r="K9" i="10" s="1"/>
  <c r="I9" i="10"/>
  <c r="H9" i="10"/>
  <c r="G9" i="10"/>
  <c r="M8" i="10"/>
  <c r="J8" i="10"/>
  <c r="I8" i="10"/>
  <c r="H8" i="10"/>
  <c r="L8" i="10" s="1"/>
  <c r="G8" i="10"/>
  <c r="C33" i="9"/>
  <c r="C32" i="9" s="1"/>
  <c r="D22" i="9"/>
  <c r="C24" i="9" s="1"/>
  <c r="G19" i="9"/>
  <c r="C19" i="9"/>
  <c r="C18" i="9"/>
  <c r="M12" i="9"/>
  <c r="H12" i="9"/>
  <c r="J12" i="9" s="1"/>
  <c r="N11" i="9"/>
  <c r="M11" i="9"/>
  <c r="H11" i="9"/>
  <c r="N10" i="9"/>
  <c r="M10" i="9"/>
  <c r="H10" i="9"/>
  <c r="O10" i="9" s="1"/>
  <c r="P10" i="9" s="1"/>
  <c r="O9" i="9"/>
  <c r="N9" i="9"/>
  <c r="M9" i="9"/>
  <c r="J9" i="9"/>
  <c r="H9" i="9"/>
  <c r="O8" i="9"/>
  <c r="P8" i="9" s="1"/>
  <c r="N8" i="9"/>
  <c r="M8" i="9"/>
  <c r="H8" i="9"/>
  <c r="J8" i="9" s="1"/>
  <c r="O7" i="9"/>
  <c r="N7" i="9"/>
  <c r="M7" i="9"/>
  <c r="H7" i="9"/>
  <c r="J7" i="9" s="1"/>
  <c r="N6" i="9"/>
  <c r="M6" i="9"/>
  <c r="H6" i="9"/>
  <c r="O6" i="9" s="1"/>
  <c r="P6" i="9" s="1"/>
  <c r="R244" i="8"/>
  <c r="O244" i="8"/>
  <c r="Q244" i="8" s="1"/>
  <c r="N244" i="8"/>
  <c r="M244" i="8"/>
  <c r="L244" i="8"/>
  <c r="K244" i="8"/>
  <c r="R243" i="8"/>
  <c r="Q243" i="8"/>
  <c r="P243" i="8"/>
  <c r="N243" i="8"/>
  <c r="M243" i="8"/>
  <c r="O243" i="8" s="1"/>
  <c r="L243" i="8"/>
  <c r="K243" i="8"/>
  <c r="R242" i="8"/>
  <c r="Q242" i="8"/>
  <c r="P242" i="8"/>
  <c r="O242" i="8"/>
  <c r="N242" i="8"/>
  <c r="M242" i="8"/>
  <c r="L242" i="8"/>
  <c r="K242" i="8"/>
  <c r="R241" i="8"/>
  <c r="N241" i="8"/>
  <c r="M241" i="8"/>
  <c r="O241" i="8" s="1"/>
  <c r="Q241" i="8" s="1"/>
  <c r="L241" i="8"/>
  <c r="K241" i="8"/>
  <c r="R240" i="8"/>
  <c r="Q240" i="8"/>
  <c r="P240" i="8"/>
  <c r="O240" i="8"/>
  <c r="N240" i="8"/>
  <c r="M240" i="8"/>
  <c r="L240" i="8"/>
  <c r="K240" i="8"/>
  <c r="R239" i="8"/>
  <c r="O239" i="8"/>
  <c r="Q239" i="8" s="1"/>
  <c r="N239" i="8"/>
  <c r="M239" i="8"/>
  <c r="L239" i="8"/>
  <c r="K239" i="8"/>
  <c r="R238" i="8"/>
  <c r="N238" i="8"/>
  <c r="M238" i="8"/>
  <c r="O238" i="8" s="1"/>
  <c r="Q238" i="8" s="1"/>
  <c r="L238" i="8"/>
  <c r="K238" i="8"/>
  <c r="R237" i="8"/>
  <c r="Q237" i="8"/>
  <c r="P237" i="8"/>
  <c r="O237" i="8"/>
  <c r="N237" i="8"/>
  <c r="M237" i="8"/>
  <c r="L237" i="8"/>
  <c r="K237" i="8"/>
  <c r="R236" i="8"/>
  <c r="N236" i="8"/>
  <c r="M236" i="8"/>
  <c r="O236" i="8" s="1"/>
  <c r="Q236" i="8" s="1"/>
  <c r="L236" i="8"/>
  <c r="K236" i="8"/>
  <c r="R235" i="8"/>
  <c r="O235" i="8"/>
  <c r="Q235" i="8" s="1"/>
  <c r="N235" i="8"/>
  <c r="P235" i="8" s="1"/>
  <c r="M235" i="8"/>
  <c r="L235" i="8"/>
  <c r="K235" i="8"/>
  <c r="R234" i="8"/>
  <c r="O234" i="8"/>
  <c r="Q234" i="8" s="1"/>
  <c r="N234" i="8"/>
  <c r="M234" i="8"/>
  <c r="L234" i="8"/>
  <c r="K234" i="8"/>
  <c r="R233" i="8"/>
  <c r="Q233" i="8"/>
  <c r="N233" i="8"/>
  <c r="M233" i="8"/>
  <c r="O233" i="8" s="1"/>
  <c r="P233" i="8" s="1"/>
  <c r="L233" i="8"/>
  <c r="K233" i="8"/>
  <c r="R232" i="8"/>
  <c r="O232" i="8"/>
  <c r="Q232" i="8" s="1"/>
  <c r="N232" i="8"/>
  <c r="M232" i="8"/>
  <c r="L232" i="8"/>
  <c r="K232" i="8"/>
  <c r="R231" i="8"/>
  <c r="N231" i="8"/>
  <c r="M231" i="8"/>
  <c r="O231" i="8" s="1"/>
  <c r="Q231" i="8" s="1"/>
  <c r="L231" i="8"/>
  <c r="K231" i="8"/>
  <c r="R230" i="8"/>
  <c r="N230" i="8"/>
  <c r="P230" i="8" s="1"/>
  <c r="M230" i="8"/>
  <c r="O230" i="8" s="1"/>
  <c r="Q230" i="8" s="1"/>
  <c r="L230" i="8"/>
  <c r="K230" i="8"/>
  <c r="R229" i="8"/>
  <c r="O229" i="8"/>
  <c r="Q229" i="8" s="1"/>
  <c r="N229" i="8"/>
  <c r="P229" i="8" s="1"/>
  <c r="M229" i="8"/>
  <c r="L229" i="8"/>
  <c r="K229" i="8"/>
  <c r="R228" i="8"/>
  <c r="Q228" i="8"/>
  <c r="P228" i="8"/>
  <c r="N228" i="8"/>
  <c r="M228" i="8"/>
  <c r="O228" i="8" s="1"/>
  <c r="L228" i="8"/>
  <c r="K228" i="8"/>
  <c r="R227" i="8"/>
  <c r="O227" i="8"/>
  <c r="Q227" i="8" s="1"/>
  <c r="N227" i="8"/>
  <c r="M227" i="8"/>
  <c r="L227" i="8"/>
  <c r="K227" i="8"/>
  <c r="R226" i="8"/>
  <c r="N226" i="8"/>
  <c r="P226" i="8" s="1"/>
  <c r="M226" i="8"/>
  <c r="O226" i="8" s="1"/>
  <c r="Q226" i="8" s="1"/>
  <c r="L226" i="8"/>
  <c r="R225" i="8"/>
  <c r="P225" i="8"/>
  <c r="O225" i="8"/>
  <c r="Q225" i="8" s="1"/>
  <c r="N225" i="8"/>
  <c r="M225" i="8"/>
  <c r="L225" i="8"/>
  <c r="R224" i="8"/>
  <c r="Q224" i="8"/>
  <c r="N224" i="8"/>
  <c r="P224" i="8" s="1"/>
  <c r="M224" i="8"/>
  <c r="O224" i="8" s="1"/>
  <c r="L224" i="8"/>
  <c r="K224" i="8"/>
  <c r="R223" i="8"/>
  <c r="O223" i="8"/>
  <c r="N223" i="8"/>
  <c r="P223" i="8" s="1"/>
  <c r="M223" i="8"/>
  <c r="L223" i="8"/>
  <c r="K223" i="8"/>
  <c r="R222" i="8"/>
  <c r="O222" i="8"/>
  <c r="P222" i="8" s="1"/>
  <c r="N222" i="8"/>
  <c r="M222" i="8"/>
  <c r="L222" i="8"/>
  <c r="K222" i="8"/>
  <c r="R221" i="8"/>
  <c r="Q221" i="8"/>
  <c r="P221" i="8"/>
  <c r="O221" i="8"/>
  <c r="N221" i="8"/>
  <c r="M221" i="8"/>
  <c r="L221" i="8"/>
  <c r="K221" i="8"/>
  <c r="R220" i="8"/>
  <c r="O220" i="8"/>
  <c r="Q220" i="8" s="1"/>
  <c r="N220" i="8"/>
  <c r="M220" i="8"/>
  <c r="L220" i="8"/>
  <c r="K220" i="8"/>
  <c r="R219" i="8"/>
  <c r="Q219" i="8"/>
  <c r="N219" i="8"/>
  <c r="P219" i="8" s="1"/>
  <c r="M219" i="8"/>
  <c r="O219" i="8" s="1"/>
  <c r="L219" i="8"/>
  <c r="K219" i="8"/>
  <c r="R218" i="8"/>
  <c r="O218" i="8"/>
  <c r="Q218" i="8" s="1"/>
  <c r="N218" i="8"/>
  <c r="M218" i="8"/>
  <c r="L218" i="8"/>
  <c r="K218" i="8"/>
  <c r="R217" i="8"/>
  <c r="Q217" i="8"/>
  <c r="P217" i="8"/>
  <c r="O217" i="8"/>
  <c r="N217" i="8"/>
  <c r="M217" i="8"/>
  <c r="L217" i="8"/>
  <c r="K217" i="8"/>
  <c r="R216" i="8"/>
  <c r="Q216" i="8"/>
  <c r="P216" i="8"/>
  <c r="O216" i="8"/>
  <c r="N216" i="8"/>
  <c r="M216" i="8"/>
  <c r="L216" i="8"/>
  <c r="K216" i="8"/>
  <c r="R215" i="8"/>
  <c r="N215" i="8"/>
  <c r="M215" i="8"/>
  <c r="O215" i="8" s="1"/>
  <c r="Q215" i="8" s="1"/>
  <c r="L215" i="8"/>
  <c r="K215" i="8"/>
  <c r="R214" i="8"/>
  <c r="Q214" i="8"/>
  <c r="N214" i="8"/>
  <c r="P214" i="8" s="1"/>
  <c r="M214" i="8"/>
  <c r="O214" i="8" s="1"/>
  <c r="L214" i="8"/>
  <c r="K214" i="8"/>
  <c r="R213" i="8"/>
  <c r="P213" i="8"/>
  <c r="O213" i="8"/>
  <c r="Q213" i="8" s="1"/>
  <c r="N213" i="8"/>
  <c r="M213" i="8"/>
  <c r="L213" i="8"/>
  <c r="K213" i="8"/>
  <c r="R212" i="8"/>
  <c r="N212" i="8"/>
  <c r="M212" i="8"/>
  <c r="O212" i="8" s="1"/>
  <c r="Q212" i="8" s="1"/>
  <c r="L212" i="8"/>
  <c r="K212" i="8"/>
  <c r="R211" i="8"/>
  <c r="Q211" i="8"/>
  <c r="P211" i="8"/>
  <c r="O211" i="8"/>
  <c r="N211" i="8"/>
  <c r="M211" i="8"/>
  <c r="L211" i="8"/>
  <c r="K211" i="8"/>
  <c r="R210" i="8"/>
  <c r="N210" i="8"/>
  <c r="M210" i="8"/>
  <c r="O210" i="8" s="1"/>
  <c r="Q210" i="8" s="1"/>
  <c r="L210" i="8"/>
  <c r="K210" i="8"/>
  <c r="R209" i="8"/>
  <c r="N209" i="8"/>
  <c r="M209" i="8"/>
  <c r="O209" i="8" s="1"/>
  <c r="Q209" i="8" s="1"/>
  <c r="L209" i="8"/>
  <c r="K209" i="8"/>
  <c r="R208" i="8"/>
  <c r="P208" i="8"/>
  <c r="O208" i="8"/>
  <c r="N208" i="8"/>
  <c r="M208" i="8"/>
  <c r="L208" i="8"/>
  <c r="K208" i="8"/>
  <c r="R207" i="8"/>
  <c r="N207" i="8"/>
  <c r="M207" i="8"/>
  <c r="O207" i="8" s="1"/>
  <c r="Q207" i="8" s="1"/>
  <c r="L207" i="8"/>
  <c r="K207" i="8"/>
  <c r="R206" i="8"/>
  <c r="Q206" i="8"/>
  <c r="P206" i="8"/>
  <c r="O206" i="8"/>
  <c r="N206" i="8"/>
  <c r="M206" i="8"/>
  <c r="L206" i="8"/>
  <c r="K206" i="8"/>
  <c r="R201" i="8"/>
  <c r="O201" i="8"/>
  <c r="N201" i="8"/>
  <c r="P201" i="8" s="1"/>
  <c r="M201" i="8"/>
  <c r="L201" i="8"/>
  <c r="R200" i="8"/>
  <c r="N200" i="8"/>
  <c r="M200" i="8"/>
  <c r="O200" i="8" s="1"/>
  <c r="Q200" i="8" s="1"/>
  <c r="L200" i="8"/>
  <c r="R199" i="8"/>
  <c r="N199" i="8"/>
  <c r="M199" i="8"/>
  <c r="O199" i="8" s="1"/>
  <c r="Q199" i="8" s="1"/>
  <c r="L199" i="8"/>
  <c r="R198" i="8"/>
  <c r="O198" i="8"/>
  <c r="N198" i="8"/>
  <c r="P198" i="8" s="1"/>
  <c r="M198" i="8"/>
  <c r="L198" i="8"/>
  <c r="R197" i="8"/>
  <c r="Q197" i="8"/>
  <c r="N197" i="8"/>
  <c r="P197" i="8" s="1"/>
  <c r="M197" i="8"/>
  <c r="O197" i="8" s="1"/>
  <c r="L197" i="8"/>
  <c r="R196" i="8"/>
  <c r="N196" i="8"/>
  <c r="M196" i="8"/>
  <c r="O196" i="8" s="1"/>
  <c r="Q196" i="8" s="1"/>
  <c r="L196" i="8"/>
  <c r="R195" i="8"/>
  <c r="N195" i="8"/>
  <c r="P195" i="8" s="1"/>
  <c r="M195" i="8"/>
  <c r="O195" i="8" s="1"/>
  <c r="L195" i="8"/>
  <c r="R194" i="8"/>
  <c r="N194" i="8"/>
  <c r="M194" i="8"/>
  <c r="O194" i="8" s="1"/>
  <c r="Q194" i="8" s="1"/>
  <c r="L194" i="8"/>
  <c r="R193" i="8"/>
  <c r="P193" i="8"/>
  <c r="O193" i="8"/>
  <c r="Q193" i="8" s="1"/>
  <c r="N193" i="8"/>
  <c r="M193" i="8"/>
  <c r="L193" i="8"/>
  <c r="R192" i="8"/>
  <c r="N192" i="8"/>
  <c r="M192" i="8"/>
  <c r="O192" i="8" s="1"/>
  <c r="Q192" i="8" s="1"/>
  <c r="L192" i="8"/>
  <c r="R191" i="8"/>
  <c r="O191" i="8"/>
  <c r="Q191" i="8" s="1"/>
  <c r="N191" i="8"/>
  <c r="P191" i="8" s="1"/>
  <c r="M191" i="8"/>
  <c r="L191" i="8"/>
  <c r="R190" i="8"/>
  <c r="Q190" i="8"/>
  <c r="P190" i="8"/>
  <c r="O190" i="8"/>
  <c r="N190" i="8"/>
  <c r="M190" i="8"/>
  <c r="L190" i="8"/>
  <c r="R189" i="8"/>
  <c r="N189" i="8"/>
  <c r="M189" i="8"/>
  <c r="O189" i="8" s="1"/>
  <c r="L189" i="8"/>
  <c r="R188" i="8"/>
  <c r="P188" i="8"/>
  <c r="O188" i="8"/>
  <c r="Q188" i="8" s="1"/>
  <c r="N188" i="8"/>
  <c r="M188" i="8"/>
  <c r="L188" i="8"/>
  <c r="R187" i="8"/>
  <c r="Q187" i="8"/>
  <c r="P187" i="8"/>
  <c r="N187" i="8"/>
  <c r="M187" i="8"/>
  <c r="O187" i="8" s="1"/>
  <c r="L187" i="8"/>
  <c r="R186" i="8"/>
  <c r="O186" i="8"/>
  <c r="P186" i="8" s="1"/>
  <c r="N186" i="8"/>
  <c r="M186" i="8"/>
  <c r="L186" i="8"/>
  <c r="R185" i="8"/>
  <c r="Q185" i="8"/>
  <c r="P185" i="8"/>
  <c r="O185" i="8"/>
  <c r="N185" i="8"/>
  <c r="M185" i="8"/>
  <c r="L185" i="8"/>
  <c r="R184" i="8"/>
  <c r="N184" i="8"/>
  <c r="P184" i="8" s="1"/>
  <c r="M184" i="8"/>
  <c r="O184" i="8" s="1"/>
  <c r="L184" i="8"/>
  <c r="R183" i="8"/>
  <c r="O183" i="8"/>
  <c r="Q183" i="8" s="1"/>
  <c r="N183" i="8"/>
  <c r="M183" i="8"/>
  <c r="L183" i="8"/>
  <c r="R182" i="8"/>
  <c r="N182" i="8"/>
  <c r="M182" i="8"/>
  <c r="O182" i="8" s="1"/>
  <c r="L182" i="8"/>
  <c r="R181" i="8"/>
  <c r="O181" i="8"/>
  <c r="N181" i="8"/>
  <c r="P181" i="8" s="1"/>
  <c r="M181" i="8"/>
  <c r="L181" i="8"/>
  <c r="R180" i="8"/>
  <c r="Q180" i="8"/>
  <c r="P180" i="8"/>
  <c r="N180" i="8"/>
  <c r="M180" i="8"/>
  <c r="O180" i="8" s="1"/>
  <c r="L180" i="8"/>
  <c r="R175" i="8"/>
  <c r="N175" i="8"/>
  <c r="M175" i="8"/>
  <c r="O175" i="8" s="1"/>
  <c r="Q175" i="8" s="1"/>
  <c r="L175" i="8"/>
  <c r="R174" i="8"/>
  <c r="N174" i="8"/>
  <c r="M174" i="8"/>
  <c r="O174" i="8" s="1"/>
  <c r="Q174" i="8" s="1"/>
  <c r="L174" i="8"/>
  <c r="R173" i="8"/>
  <c r="Q173" i="8"/>
  <c r="N173" i="8"/>
  <c r="M173" i="8"/>
  <c r="O173" i="8" s="1"/>
  <c r="L173" i="8"/>
  <c r="R172" i="8"/>
  <c r="O172" i="8"/>
  <c r="Q172" i="8" s="1"/>
  <c r="N172" i="8"/>
  <c r="M172" i="8"/>
  <c r="L172" i="8"/>
  <c r="R171" i="8"/>
  <c r="N171" i="8"/>
  <c r="M171" i="8"/>
  <c r="O171" i="8" s="1"/>
  <c r="L171" i="8"/>
  <c r="R170" i="8"/>
  <c r="N170" i="8"/>
  <c r="P170" i="8" s="1"/>
  <c r="M170" i="8"/>
  <c r="O170" i="8" s="1"/>
  <c r="L170" i="8"/>
  <c r="R169" i="8"/>
  <c r="O169" i="8"/>
  <c r="N169" i="8"/>
  <c r="P169" i="8" s="1"/>
  <c r="M169" i="8"/>
  <c r="L169" i="8"/>
  <c r="R168" i="8"/>
  <c r="N168" i="8"/>
  <c r="M168" i="8"/>
  <c r="O168" i="8" s="1"/>
  <c r="Q168" i="8" s="1"/>
  <c r="L168" i="8"/>
  <c r="R167" i="8"/>
  <c r="O167" i="8"/>
  <c r="Q167" i="8" s="1"/>
  <c r="N167" i="8"/>
  <c r="P167" i="8" s="1"/>
  <c r="M167" i="8"/>
  <c r="L167" i="8"/>
  <c r="R166" i="8"/>
  <c r="Q166" i="8"/>
  <c r="P166" i="8"/>
  <c r="O166" i="8"/>
  <c r="N166" i="8"/>
  <c r="M166" i="8"/>
  <c r="L166" i="8"/>
  <c r="R165" i="8"/>
  <c r="N165" i="8"/>
  <c r="M165" i="8"/>
  <c r="O165" i="8" s="1"/>
  <c r="L165" i="8"/>
  <c r="R164" i="8"/>
  <c r="P164" i="8"/>
  <c r="O164" i="8"/>
  <c r="Q164" i="8" s="1"/>
  <c r="N164" i="8"/>
  <c r="M164" i="8"/>
  <c r="L164" i="8"/>
  <c r="R163" i="8"/>
  <c r="Q163" i="8"/>
  <c r="P163" i="8"/>
  <c r="N163" i="8"/>
  <c r="M163" i="8"/>
  <c r="O163" i="8" s="1"/>
  <c r="L163" i="8"/>
  <c r="R162" i="8"/>
  <c r="Q162" i="8"/>
  <c r="P162" i="8"/>
  <c r="O162" i="8"/>
  <c r="N162" i="8"/>
  <c r="M162" i="8"/>
  <c r="L162" i="8"/>
  <c r="R161" i="8"/>
  <c r="Q161" i="8"/>
  <c r="P161" i="8"/>
  <c r="O161" i="8"/>
  <c r="N161" i="8"/>
  <c r="M161" i="8"/>
  <c r="L161" i="8"/>
  <c r="R160" i="8"/>
  <c r="N160" i="8"/>
  <c r="P160" i="8" s="1"/>
  <c r="M160" i="8"/>
  <c r="O160" i="8" s="1"/>
  <c r="L160" i="8"/>
  <c r="R159" i="8"/>
  <c r="Q159" i="8"/>
  <c r="P159" i="8"/>
  <c r="O159" i="8"/>
  <c r="N159" i="8"/>
  <c r="M159" i="8"/>
  <c r="L159" i="8"/>
  <c r="R158" i="8"/>
  <c r="N158" i="8"/>
  <c r="M158" i="8"/>
  <c r="O158" i="8" s="1"/>
  <c r="L158" i="8"/>
  <c r="R157" i="8"/>
  <c r="N157" i="8"/>
  <c r="M157" i="8"/>
  <c r="O157" i="8" s="1"/>
  <c r="Q157" i="8" s="1"/>
  <c r="L157" i="8"/>
  <c r="R156" i="8"/>
  <c r="Q156" i="8"/>
  <c r="N156" i="8"/>
  <c r="M156" i="8"/>
  <c r="O156" i="8" s="1"/>
  <c r="P156" i="8" s="1"/>
  <c r="L156" i="8"/>
  <c r="R155" i="8"/>
  <c r="N155" i="8"/>
  <c r="P155" i="8" s="1"/>
  <c r="M155" i="8"/>
  <c r="O155" i="8" s="1"/>
  <c r="L155" i="8"/>
  <c r="R154" i="8"/>
  <c r="O154" i="8"/>
  <c r="Q154" i="8" s="1"/>
  <c r="N154" i="8"/>
  <c r="M154" i="8"/>
  <c r="L154" i="8"/>
  <c r="R153" i="8"/>
  <c r="N153" i="8"/>
  <c r="M153" i="8"/>
  <c r="O153" i="8" s="1"/>
  <c r="Q153" i="8" s="1"/>
  <c r="L153" i="8"/>
  <c r="R152" i="8"/>
  <c r="N152" i="8"/>
  <c r="M152" i="8"/>
  <c r="O152" i="8" s="1"/>
  <c r="Q152" i="8" s="1"/>
  <c r="L152" i="8"/>
  <c r="R151" i="8"/>
  <c r="N151" i="8"/>
  <c r="M151" i="8"/>
  <c r="O151" i="8" s="1"/>
  <c r="L151" i="8"/>
  <c r="R150" i="8"/>
  <c r="N150" i="8"/>
  <c r="M150" i="8"/>
  <c r="O150" i="8" s="1"/>
  <c r="Q150" i="8" s="1"/>
  <c r="L150" i="8"/>
  <c r="R149" i="8"/>
  <c r="O149" i="8"/>
  <c r="N149" i="8"/>
  <c r="P149" i="8" s="1"/>
  <c r="M149" i="8"/>
  <c r="L149" i="8"/>
  <c r="R148" i="8"/>
  <c r="Q148" i="8"/>
  <c r="P148" i="8"/>
  <c r="O148" i="8"/>
  <c r="N148" i="8"/>
  <c r="M148" i="8"/>
  <c r="L148" i="8"/>
  <c r="R147" i="8"/>
  <c r="O147" i="8"/>
  <c r="Q147" i="8" s="1"/>
  <c r="N147" i="8"/>
  <c r="P147" i="8" s="1"/>
  <c r="M147" i="8"/>
  <c r="L147" i="8"/>
  <c r="R146" i="8"/>
  <c r="O146" i="8"/>
  <c r="N146" i="8"/>
  <c r="M146" i="8"/>
  <c r="L146" i="8"/>
  <c r="R145" i="8"/>
  <c r="O145" i="8"/>
  <c r="Q145" i="8" s="1"/>
  <c r="N145" i="8"/>
  <c r="M145" i="8"/>
  <c r="L145" i="8"/>
  <c r="R144" i="8"/>
  <c r="P144" i="8"/>
  <c r="O144" i="8"/>
  <c r="Q144" i="8" s="1"/>
  <c r="N144" i="8"/>
  <c r="M144" i="8"/>
  <c r="L144" i="8"/>
  <c r="R143" i="8"/>
  <c r="N143" i="8"/>
  <c r="M143" i="8"/>
  <c r="O143" i="8" s="1"/>
  <c r="L143" i="8"/>
  <c r="R142" i="8"/>
  <c r="O142" i="8"/>
  <c r="Q142" i="8" s="1"/>
  <c r="N142" i="8"/>
  <c r="P142" i="8" s="1"/>
  <c r="M142" i="8"/>
  <c r="L142" i="8"/>
  <c r="R141" i="8"/>
  <c r="Q141" i="8"/>
  <c r="P141" i="8"/>
  <c r="O141" i="8"/>
  <c r="N141" i="8"/>
  <c r="M141" i="8"/>
  <c r="L141" i="8"/>
  <c r="R140" i="8"/>
  <c r="N140" i="8"/>
  <c r="M140" i="8"/>
  <c r="O140" i="8" s="1"/>
  <c r="Q140" i="8" s="1"/>
  <c r="L140" i="8"/>
  <c r="R139" i="8"/>
  <c r="Q139" i="8"/>
  <c r="O139" i="8"/>
  <c r="P139" i="8" s="1"/>
  <c r="N139" i="8"/>
  <c r="M139" i="8"/>
  <c r="L139" i="8"/>
  <c r="R138" i="8"/>
  <c r="N138" i="8"/>
  <c r="M138" i="8"/>
  <c r="O138" i="8" s="1"/>
  <c r="L138" i="8"/>
  <c r="R137" i="8"/>
  <c r="O137" i="8"/>
  <c r="Q137" i="8" s="1"/>
  <c r="N137" i="8"/>
  <c r="M137" i="8"/>
  <c r="L137" i="8"/>
  <c r="R130" i="8"/>
  <c r="N130" i="8"/>
  <c r="M130" i="8"/>
  <c r="O130" i="8" s="1"/>
  <c r="Q130" i="8" s="1"/>
  <c r="L130" i="8"/>
  <c r="R129" i="8"/>
  <c r="N129" i="8"/>
  <c r="M129" i="8"/>
  <c r="O129" i="8" s="1"/>
  <c r="Q129" i="8" s="1"/>
  <c r="L129" i="8"/>
  <c r="R118" i="8"/>
  <c r="P118" i="8"/>
  <c r="O118" i="8"/>
  <c r="Q118" i="8" s="1"/>
  <c r="N118" i="8"/>
  <c r="M118" i="8"/>
  <c r="L118" i="8"/>
  <c r="R117" i="8"/>
  <c r="N117" i="8"/>
  <c r="M117" i="8"/>
  <c r="O117" i="8" s="1"/>
  <c r="Q117" i="8" s="1"/>
  <c r="L117" i="8"/>
  <c r="R116" i="8"/>
  <c r="O116" i="8"/>
  <c r="Q116" i="8" s="1"/>
  <c r="N116" i="8"/>
  <c r="M116" i="8"/>
  <c r="L116" i="8"/>
  <c r="R115" i="8"/>
  <c r="O115" i="8"/>
  <c r="P115" i="8" s="1"/>
  <c r="N115" i="8"/>
  <c r="M115" i="8"/>
  <c r="L115" i="8"/>
  <c r="R114" i="8"/>
  <c r="N114" i="8"/>
  <c r="M114" i="8"/>
  <c r="O114" i="8" s="1"/>
  <c r="Q114" i="8" s="1"/>
  <c r="L114" i="8"/>
  <c r="R113" i="8"/>
  <c r="O113" i="8"/>
  <c r="N113" i="8"/>
  <c r="P113" i="8" s="1"/>
  <c r="M113" i="8"/>
  <c r="L113" i="8"/>
  <c r="R112" i="8"/>
  <c r="Q112" i="8"/>
  <c r="P112" i="8"/>
  <c r="N112" i="8"/>
  <c r="M112" i="8"/>
  <c r="O112" i="8" s="1"/>
  <c r="L112" i="8"/>
  <c r="R111" i="8"/>
  <c r="O111" i="8"/>
  <c r="Q111" i="8" s="1"/>
  <c r="N111" i="8"/>
  <c r="M111" i="8"/>
  <c r="L111" i="8"/>
  <c r="R110" i="8"/>
  <c r="Q110" i="8"/>
  <c r="O110" i="8"/>
  <c r="P110" i="8" s="1"/>
  <c r="N110" i="8"/>
  <c r="M110" i="8"/>
  <c r="L110" i="8"/>
  <c r="R109" i="8"/>
  <c r="O109" i="8"/>
  <c r="Q109" i="8" s="1"/>
  <c r="N109" i="8"/>
  <c r="M109" i="8"/>
  <c r="L109" i="8"/>
  <c r="R108" i="8"/>
  <c r="P108" i="8"/>
  <c r="O108" i="8"/>
  <c r="Q108" i="8" s="1"/>
  <c r="N108" i="8"/>
  <c r="M108" i="8"/>
  <c r="L108" i="8"/>
  <c r="R107" i="8"/>
  <c r="Q107" i="8"/>
  <c r="N107" i="8"/>
  <c r="M107" i="8"/>
  <c r="O107" i="8" s="1"/>
  <c r="P107" i="8" s="1"/>
  <c r="L107" i="8"/>
  <c r="R106" i="8"/>
  <c r="Q106" i="8"/>
  <c r="P106" i="8"/>
  <c r="O106" i="8"/>
  <c r="N106" i="8"/>
  <c r="M106" i="8"/>
  <c r="L106" i="8"/>
  <c r="R105" i="8"/>
  <c r="Q105" i="8"/>
  <c r="P105" i="8"/>
  <c r="O105" i="8"/>
  <c r="N105" i="8"/>
  <c r="M105" i="8"/>
  <c r="L105" i="8"/>
  <c r="R104" i="8"/>
  <c r="Q104" i="8"/>
  <c r="N104" i="8"/>
  <c r="M104" i="8"/>
  <c r="O104" i="8" s="1"/>
  <c r="L104" i="8"/>
  <c r="R103" i="8"/>
  <c r="O103" i="8"/>
  <c r="Q103" i="8" s="1"/>
  <c r="N103" i="8"/>
  <c r="M103" i="8"/>
  <c r="L103" i="8"/>
  <c r="R102" i="8"/>
  <c r="N102" i="8"/>
  <c r="M102" i="8"/>
  <c r="O102" i="8" s="1"/>
  <c r="L102" i="8"/>
  <c r="R101" i="8"/>
  <c r="O101" i="8"/>
  <c r="Q101" i="8" s="1"/>
  <c r="N101" i="8"/>
  <c r="M101" i="8"/>
  <c r="L101" i="8"/>
  <c r="R100" i="8"/>
  <c r="Q100" i="8"/>
  <c r="P100" i="8"/>
  <c r="O100" i="8"/>
  <c r="N100" i="8"/>
  <c r="M100" i="8"/>
  <c r="L100" i="8"/>
  <c r="R99" i="8"/>
  <c r="N99" i="8"/>
  <c r="P99" i="8" s="1"/>
  <c r="M99" i="8"/>
  <c r="O99" i="8" s="1"/>
  <c r="L99" i="8"/>
  <c r="R98" i="8"/>
  <c r="O98" i="8"/>
  <c r="Q98" i="8" s="1"/>
  <c r="N98" i="8"/>
  <c r="M98" i="8"/>
  <c r="L98" i="8"/>
  <c r="R97" i="8"/>
  <c r="N97" i="8"/>
  <c r="M97" i="8"/>
  <c r="O97" i="8" s="1"/>
  <c r="P97" i="8" s="1"/>
  <c r="L97" i="8"/>
  <c r="R96" i="8"/>
  <c r="N96" i="8"/>
  <c r="M96" i="8"/>
  <c r="O96" i="8" s="1"/>
  <c r="Q96" i="8" s="1"/>
  <c r="L96" i="8"/>
  <c r="R95" i="8"/>
  <c r="N95" i="8"/>
  <c r="M95" i="8"/>
  <c r="O95" i="8" s="1"/>
  <c r="Q95" i="8" s="1"/>
  <c r="L95" i="8"/>
  <c r="R94" i="8"/>
  <c r="N94" i="8"/>
  <c r="P94" i="8" s="1"/>
  <c r="M94" i="8"/>
  <c r="O94" i="8" s="1"/>
  <c r="L94" i="8"/>
  <c r="R93" i="8"/>
  <c r="O93" i="8"/>
  <c r="Q93" i="8" s="1"/>
  <c r="N93" i="8"/>
  <c r="M93" i="8"/>
  <c r="L93" i="8"/>
  <c r="R92" i="8"/>
  <c r="N92" i="8"/>
  <c r="M92" i="8"/>
  <c r="O92" i="8" s="1"/>
  <c r="Q92" i="8" s="1"/>
  <c r="L92" i="8"/>
  <c r="R91" i="8"/>
  <c r="O91" i="8"/>
  <c r="Q91" i="8" s="1"/>
  <c r="N91" i="8"/>
  <c r="P91" i="8" s="1"/>
  <c r="M91" i="8"/>
  <c r="L91" i="8"/>
  <c r="R90" i="8"/>
  <c r="O90" i="8"/>
  <c r="Q90" i="8" s="1"/>
  <c r="N90" i="8"/>
  <c r="M90" i="8"/>
  <c r="L90" i="8"/>
  <c r="R89" i="8"/>
  <c r="N89" i="8"/>
  <c r="M89" i="8"/>
  <c r="O89" i="8" s="1"/>
  <c r="Q89" i="8" s="1"/>
  <c r="L89" i="8"/>
  <c r="R88" i="8"/>
  <c r="P88" i="8"/>
  <c r="O88" i="8"/>
  <c r="Q88" i="8" s="1"/>
  <c r="N88" i="8"/>
  <c r="M88" i="8"/>
  <c r="L88" i="8"/>
  <c r="R87" i="8"/>
  <c r="N87" i="8"/>
  <c r="M87" i="8"/>
  <c r="O87" i="8" s="1"/>
  <c r="Q87" i="8" s="1"/>
  <c r="L87" i="8"/>
  <c r="R86" i="8"/>
  <c r="O86" i="8"/>
  <c r="N86" i="8"/>
  <c r="P86" i="8" s="1"/>
  <c r="M86" i="8"/>
  <c r="L86" i="8"/>
  <c r="R85" i="8"/>
  <c r="Q85" i="8"/>
  <c r="P85" i="8"/>
  <c r="O85" i="8"/>
  <c r="N85" i="8"/>
  <c r="M85" i="8"/>
  <c r="L85" i="8"/>
  <c r="R84" i="8"/>
  <c r="N84" i="8"/>
  <c r="M84" i="8"/>
  <c r="O84" i="8" s="1"/>
  <c r="Q84" i="8" s="1"/>
  <c r="L84" i="8"/>
  <c r="R83" i="8"/>
  <c r="O83" i="8"/>
  <c r="P83" i="8" s="1"/>
  <c r="N83" i="8"/>
  <c r="M83" i="8"/>
  <c r="L83" i="8"/>
  <c r="R82" i="8"/>
  <c r="N82" i="8"/>
  <c r="M82" i="8"/>
  <c r="O82" i="8" s="1"/>
  <c r="L82" i="8"/>
  <c r="R81" i="8"/>
  <c r="O81" i="8"/>
  <c r="Q81" i="8" s="1"/>
  <c r="N81" i="8"/>
  <c r="M81" i="8"/>
  <c r="L81" i="8"/>
  <c r="R80" i="8"/>
  <c r="Q80" i="8"/>
  <c r="P80" i="8"/>
  <c r="O80" i="8"/>
  <c r="N80" i="8"/>
  <c r="M80" i="8"/>
  <c r="L80" i="8"/>
  <c r="R79" i="8"/>
  <c r="N79" i="8"/>
  <c r="M79" i="8"/>
  <c r="O79" i="8" s="1"/>
  <c r="Q79" i="8" s="1"/>
  <c r="L79" i="8"/>
  <c r="R78" i="8"/>
  <c r="P78" i="8"/>
  <c r="N78" i="8"/>
  <c r="M78" i="8"/>
  <c r="O78" i="8" s="1"/>
  <c r="Q78" i="8" s="1"/>
  <c r="L78" i="8"/>
  <c r="R77" i="8"/>
  <c r="Q77" i="8"/>
  <c r="N77" i="8"/>
  <c r="M77" i="8"/>
  <c r="O77" i="8" s="1"/>
  <c r="P77" i="8" s="1"/>
  <c r="L77" i="8"/>
  <c r="R76" i="8"/>
  <c r="O76" i="8"/>
  <c r="Q76" i="8" s="1"/>
  <c r="N76" i="8"/>
  <c r="M76" i="8"/>
  <c r="L76" i="8"/>
  <c r="R75" i="8"/>
  <c r="O75" i="8"/>
  <c r="Q75" i="8" s="1"/>
  <c r="N75" i="8"/>
  <c r="M75" i="8"/>
  <c r="L75" i="8"/>
  <c r="R74" i="8"/>
  <c r="N74" i="8"/>
  <c r="M74" i="8"/>
  <c r="O74" i="8" s="1"/>
  <c r="Q74" i="8" s="1"/>
  <c r="L74" i="8"/>
  <c r="R73" i="8"/>
  <c r="P73" i="8"/>
  <c r="O73" i="8"/>
  <c r="N73" i="8"/>
  <c r="M73" i="8"/>
  <c r="L73" i="8"/>
  <c r="R72" i="8"/>
  <c r="N72" i="8"/>
  <c r="M72" i="8"/>
  <c r="O72" i="8" s="1"/>
  <c r="Q72" i="8" s="1"/>
  <c r="L72" i="8"/>
  <c r="R66" i="8"/>
  <c r="O66" i="8"/>
  <c r="Q66" i="8" s="1"/>
  <c r="N66" i="8"/>
  <c r="M66" i="8"/>
  <c r="L66" i="8"/>
  <c r="R42" i="8"/>
  <c r="Q42" i="8"/>
  <c r="P42" i="8"/>
  <c r="O42" i="8"/>
  <c r="N42" i="8"/>
  <c r="M42" i="8"/>
  <c r="L42" i="8"/>
  <c r="R41" i="8"/>
  <c r="N41" i="8"/>
  <c r="P41" i="8" s="1"/>
  <c r="M41" i="8"/>
  <c r="O41" i="8" s="1"/>
  <c r="Q41" i="8" s="1"/>
  <c r="L41" i="8"/>
  <c r="R40" i="8"/>
  <c r="P40" i="8"/>
  <c r="O40" i="8"/>
  <c r="Q40" i="8" s="1"/>
  <c r="N40" i="8"/>
  <c r="M40" i="8"/>
  <c r="L40" i="8"/>
  <c r="R39" i="8"/>
  <c r="Q39" i="8"/>
  <c r="P39" i="8"/>
  <c r="N39" i="8"/>
  <c r="M39" i="8"/>
  <c r="O39" i="8" s="1"/>
  <c r="L39" i="8"/>
  <c r="R38" i="8"/>
  <c r="Q38" i="8"/>
  <c r="O38" i="8"/>
  <c r="N38" i="8"/>
  <c r="P38" i="8" s="1"/>
  <c r="M38" i="8"/>
  <c r="L38" i="8"/>
  <c r="R37" i="8"/>
  <c r="Q37" i="8"/>
  <c r="P37" i="8"/>
  <c r="O37" i="8"/>
  <c r="N37" i="8"/>
  <c r="M37" i="8"/>
  <c r="L37" i="8"/>
  <c r="R36" i="8"/>
  <c r="Q36" i="8"/>
  <c r="N36" i="8"/>
  <c r="P36" i="8" s="1"/>
  <c r="M36" i="8"/>
  <c r="O36" i="8" s="1"/>
  <c r="L36" i="8"/>
  <c r="R35" i="8"/>
  <c r="Q35" i="8"/>
  <c r="P35" i="8"/>
  <c r="O35" i="8"/>
  <c r="N35" i="8"/>
  <c r="M35" i="8"/>
  <c r="L35" i="8"/>
  <c r="R34" i="8"/>
  <c r="N34" i="8"/>
  <c r="M34" i="8"/>
  <c r="O34" i="8" s="1"/>
  <c r="L34" i="8"/>
  <c r="R33" i="8"/>
  <c r="N33" i="8"/>
  <c r="M33" i="8"/>
  <c r="O33" i="8" s="1"/>
  <c r="Q33" i="8" s="1"/>
  <c r="L33" i="8"/>
  <c r="R32" i="8"/>
  <c r="Q32" i="8"/>
  <c r="P32" i="8"/>
  <c r="O32" i="8"/>
  <c r="N32" i="8"/>
  <c r="M32" i="8"/>
  <c r="L32" i="8"/>
  <c r="R31" i="8"/>
  <c r="N31" i="8"/>
  <c r="M31" i="8"/>
  <c r="O31" i="8" s="1"/>
  <c r="Q31" i="8" s="1"/>
  <c r="L31" i="8"/>
  <c r="R30" i="8"/>
  <c r="N30" i="8"/>
  <c r="M30" i="8"/>
  <c r="O30" i="8" s="1"/>
  <c r="L30" i="8"/>
  <c r="R29" i="8"/>
  <c r="Q29" i="8"/>
  <c r="N29" i="8"/>
  <c r="M29" i="8"/>
  <c r="O29" i="8" s="1"/>
  <c r="P29" i="8" s="1"/>
  <c r="L29" i="8"/>
  <c r="R28" i="8"/>
  <c r="N28" i="8"/>
  <c r="M28" i="8"/>
  <c r="O28" i="8" s="1"/>
  <c r="Q28" i="8" s="1"/>
  <c r="L28" i="8"/>
  <c r="R27" i="8"/>
  <c r="N27" i="8"/>
  <c r="M27" i="8"/>
  <c r="O27" i="8" s="1"/>
  <c r="Q27" i="8" s="1"/>
  <c r="L27" i="8"/>
  <c r="R26" i="8"/>
  <c r="N26" i="8"/>
  <c r="P26" i="8" s="1"/>
  <c r="M26" i="8"/>
  <c r="O26" i="8" s="1"/>
  <c r="L26" i="8"/>
  <c r="R25" i="8"/>
  <c r="P25" i="8"/>
  <c r="O25" i="8"/>
  <c r="Q25" i="8" s="1"/>
  <c r="N25" i="8"/>
  <c r="M25" i="8"/>
  <c r="L25" i="8"/>
  <c r="R19" i="8"/>
  <c r="N19" i="8"/>
  <c r="M19" i="8"/>
  <c r="O19" i="8" s="1"/>
  <c r="L19" i="8"/>
  <c r="R18" i="8"/>
  <c r="O18" i="8"/>
  <c r="Q18" i="8" s="1"/>
  <c r="N18" i="8"/>
  <c r="M18" i="8"/>
  <c r="L18" i="8"/>
  <c r="R17" i="8"/>
  <c r="O17" i="8"/>
  <c r="P17" i="8" s="1"/>
  <c r="N17" i="8"/>
  <c r="M17" i="8"/>
  <c r="L17" i="8"/>
  <c r="R16" i="8"/>
  <c r="O16" i="8"/>
  <c r="Q16" i="8" s="1"/>
  <c r="N16" i="8"/>
  <c r="M16" i="8"/>
  <c r="L16" i="8"/>
  <c r="R15" i="8"/>
  <c r="P15" i="8"/>
  <c r="O15" i="8"/>
  <c r="Q15" i="8" s="1"/>
  <c r="N15" i="8"/>
  <c r="M15" i="8"/>
  <c r="L15" i="8"/>
  <c r="R14" i="8"/>
  <c r="P14" i="8"/>
  <c r="N14" i="8"/>
  <c r="M14" i="8"/>
  <c r="O14" i="8" s="1"/>
  <c r="Q14" i="8" s="1"/>
  <c r="L14" i="8"/>
  <c r="R13" i="8"/>
  <c r="O13" i="8"/>
  <c r="Q13" i="8" s="1"/>
  <c r="N13" i="8"/>
  <c r="P13" i="8" s="1"/>
  <c r="M13" i="8"/>
  <c r="L13" i="8"/>
  <c r="R12" i="8"/>
  <c r="Q12" i="8"/>
  <c r="P12" i="8"/>
  <c r="O12" i="8"/>
  <c r="N12" i="8"/>
  <c r="M12" i="8"/>
  <c r="L12" i="8"/>
  <c r="R11" i="8"/>
  <c r="N11" i="8"/>
  <c r="M11" i="8"/>
  <c r="O11" i="8" s="1"/>
  <c r="Q11" i="8" s="1"/>
  <c r="L11" i="8"/>
  <c r="R10" i="8"/>
  <c r="Q10" i="8"/>
  <c r="O10" i="8"/>
  <c r="P10" i="8" s="1"/>
  <c r="N10" i="8"/>
  <c r="M10" i="8"/>
  <c r="L10" i="8"/>
  <c r="R9" i="8"/>
  <c r="N9" i="8"/>
  <c r="M9" i="8"/>
  <c r="O9" i="8" s="1"/>
  <c r="L9" i="8"/>
  <c r="R8" i="8"/>
  <c r="N8" i="8"/>
  <c r="M8" i="8"/>
  <c r="O8" i="8" s="1"/>
  <c r="Q8" i="8" s="1"/>
  <c r="L8" i="8"/>
  <c r="R7" i="8"/>
  <c r="Q7" i="8"/>
  <c r="P7" i="8"/>
  <c r="O7" i="8"/>
  <c r="N7" i="8"/>
  <c r="M7" i="8"/>
  <c r="L7" i="8"/>
  <c r="R6" i="8"/>
  <c r="N6" i="8"/>
  <c r="M6" i="8"/>
  <c r="O6" i="8" s="1"/>
  <c r="Q6" i="8" s="1"/>
  <c r="L6" i="8"/>
  <c r="Q40" i="7"/>
  <c r="N40" i="7"/>
  <c r="M40" i="7"/>
  <c r="O40" i="7" s="1"/>
  <c r="L40" i="7"/>
  <c r="Q39" i="7"/>
  <c r="P39" i="7"/>
  <c r="O39" i="7"/>
  <c r="N39" i="7"/>
  <c r="M39" i="7"/>
  <c r="L39" i="7"/>
  <c r="Q38" i="7"/>
  <c r="P38" i="7"/>
  <c r="O38" i="7"/>
  <c r="N38" i="7"/>
  <c r="M38" i="7"/>
  <c r="L38" i="7"/>
  <c r="Q37" i="7"/>
  <c r="P37" i="7"/>
  <c r="N37" i="7"/>
  <c r="M37" i="7"/>
  <c r="O37" i="7" s="1"/>
  <c r="L37" i="7"/>
  <c r="Q36" i="7"/>
  <c r="N36" i="7"/>
  <c r="P36" i="7" s="1"/>
  <c r="M36" i="7"/>
  <c r="O36" i="7" s="1"/>
  <c r="L36" i="7"/>
  <c r="Q35" i="7"/>
  <c r="O35" i="7"/>
  <c r="N35" i="7"/>
  <c r="P35" i="7" s="1"/>
  <c r="M35" i="7"/>
  <c r="L35" i="7"/>
  <c r="Q34" i="7"/>
  <c r="P34" i="7"/>
  <c r="N34" i="7"/>
  <c r="O34" i="7" s="1"/>
  <c r="M34" i="7"/>
  <c r="L34" i="7"/>
  <c r="Q33" i="7"/>
  <c r="N33" i="7"/>
  <c r="P33" i="7" s="1"/>
  <c r="M33" i="7"/>
  <c r="O33" i="7" s="1"/>
  <c r="L33" i="7"/>
  <c r="Q32" i="7"/>
  <c r="N32" i="7"/>
  <c r="P32" i="7" s="1"/>
  <c r="M32" i="7"/>
  <c r="O32" i="7" s="1"/>
  <c r="L32" i="7"/>
  <c r="Q31" i="7"/>
  <c r="N31" i="7"/>
  <c r="M31" i="7"/>
  <c r="O31" i="7" s="1"/>
  <c r="L31" i="7"/>
  <c r="Q30" i="7"/>
  <c r="O30" i="7"/>
  <c r="N30" i="7"/>
  <c r="M30" i="7"/>
  <c r="L30" i="7"/>
  <c r="Q29" i="7"/>
  <c r="P29" i="7"/>
  <c r="O29" i="7"/>
  <c r="N29" i="7"/>
  <c r="M29" i="7"/>
  <c r="L29" i="7"/>
  <c r="Q28" i="7"/>
  <c r="P28" i="7"/>
  <c r="O28" i="7"/>
  <c r="N28" i="7"/>
  <c r="M28" i="7"/>
  <c r="L28" i="7"/>
  <c r="Q27" i="7"/>
  <c r="P27" i="7"/>
  <c r="N27" i="7"/>
  <c r="M27" i="7"/>
  <c r="O27" i="7" s="1"/>
  <c r="L27" i="7"/>
  <c r="Q26" i="7"/>
  <c r="N26" i="7"/>
  <c r="P26" i="7" s="1"/>
  <c r="M26" i="7"/>
  <c r="L26" i="7"/>
  <c r="Q25" i="7"/>
  <c r="O25" i="7"/>
  <c r="N25" i="7"/>
  <c r="P25" i="7" s="1"/>
  <c r="M25" i="7"/>
  <c r="L25" i="7"/>
  <c r="Q24" i="7"/>
  <c r="P24" i="7"/>
  <c r="N24" i="7"/>
  <c r="O24" i="7" s="1"/>
  <c r="M24" i="7"/>
  <c r="L24" i="7"/>
  <c r="Q23" i="7"/>
  <c r="P23" i="7"/>
  <c r="O23" i="7"/>
  <c r="N23" i="7"/>
  <c r="M23" i="7"/>
  <c r="L23" i="7"/>
  <c r="Q22" i="7"/>
  <c r="N22" i="7"/>
  <c r="M22" i="7"/>
  <c r="O22" i="7" s="1"/>
  <c r="L22" i="7"/>
  <c r="Q21" i="7"/>
  <c r="N21" i="7"/>
  <c r="M21" i="7"/>
  <c r="O21" i="7" s="1"/>
  <c r="L21" i="7"/>
  <c r="Q20" i="7"/>
  <c r="O20" i="7"/>
  <c r="N20" i="7"/>
  <c r="M20" i="7"/>
  <c r="L20" i="7"/>
  <c r="Q19" i="7"/>
  <c r="P19" i="7"/>
  <c r="O19" i="7"/>
  <c r="N19" i="7"/>
  <c r="M19" i="7"/>
  <c r="L19" i="7"/>
  <c r="Q18" i="7"/>
  <c r="P18" i="7"/>
  <c r="O18" i="7"/>
  <c r="N18" i="7"/>
  <c r="M18" i="7"/>
  <c r="L18" i="7"/>
  <c r="Q17" i="7"/>
  <c r="N17" i="7"/>
  <c r="M17" i="7"/>
  <c r="O17" i="7" s="1"/>
  <c r="L17" i="7"/>
  <c r="Q16" i="7"/>
  <c r="N16" i="7"/>
  <c r="P16" i="7" s="1"/>
  <c r="M16" i="7"/>
  <c r="L16" i="7"/>
  <c r="Q15" i="7"/>
  <c r="O15" i="7"/>
  <c r="N15" i="7"/>
  <c r="P15" i="7" s="1"/>
  <c r="M15" i="7"/>
  <c r="L15" i="7"/>
  <c r="Q14" i="7"/>
  <c r="N14" i="7"/>
  <c r="O14" i="7" s="1"/>
  <c r="M14" i="7"/>
  <c r="L14" i="7"/>
  <c r="Q13" i="7"/>
  <c r="P13" i="7"/>
  <c r="O13" i="7"/>
  <c r="N13" i="7"/>
  <c r="M13" i="7"/>
  <c r="L13" i="7"/>
  <c r="R40" i="6"/>
  <c r="N40" i="6"/>
  <c r="P40" i="6" s="1"/>
  <c r="M40" i="6"/>
  <c r="O40" i="6" s="1"/>
  <c r="L40" i="6"/>
  <c r="R39" i="6"/>
  <c r="O39" i="6"/>
  <c r="N39" i="6"/>
  <c r="P39" i="6" s="1"/>
  <c r="M39" i="6"/>
  <c r="L39" i="6"/>
  <c r="R38" i="6"/>
  <c r="O38" i="6"/>
  <c r="Q38" i="6" s="1"/>
  <c r="N38" i="6"/>
  <c r="M38" i="6"/>
  <c r="L38" i="6"/>
  <c r="R37" i="6"/>
  <c r="O37" i="6"/>
  <c r="Q37" i="6" s="1"/>
  <c r="N37" i="6"/>
  <c r="P37" i="6" s="1"/>
  <c r="M37" i="6"/>
  <c r="L37" i="6"/>
  <c r="R36" i="6"/>
  <c r="Q36" i="6"/>
  <c r="O36" i="6"/>
  <c r="P36" i="6" s="1"/>
  <c r="N36" i="6"/>
  <c r="M36" i="6"/>
  <c r="L36" i="6"/>
  <c r="R35" i="6"/>
  <c r="N35" i="6"/>
  <c r="M35" i="6"/>
  <c r="O35" i="6" s="1"/>
  <c r="Q35" i="6" s="1"/>
  <c r="L35" i="6"/>
  <c r="R34" i="6"/>
  <c r="P34" i="6"/>
  <c r="O34" i="6"/>
  <c r="Q34" i="6" s="1"/>
  <c r="N34" i="6"/>
  <c r="M34" i="6"/>
  <c r="L34" i="6"/>
  <c r="R33" i="6"/>
  <c r="N33" i="6"/>
  <c r="M33" i="6"/>
  <c r="O33" i="6" s="1"/>
  <c r="Q33" i="6" s="1"/>
  <c r="L33" i="6"/>
  <c r="R32" i="6"/>
  <c r="O32" i="6"/>
  <c r="Q32" i="6" s="1"/>
  <c r="N32" i="6"/>
  <c r="P32" i="6" s="1"/>
  <c r="M32" i="6"/>
  <c r="L32" i="6"/>
  <c r="R31" i="6"/>
  <c r="Q31" i="6"/>
  <c r="P31" i="6"/>
  <c r="O31" i="6"/>
  <c r="N31" i="6"/>
  <c r="M31" i="6"/>
  <c r="L31" i="6"/>
  <c r="R30" i="6"/>
  <c r="Q30" i="6"/>
  <c r="N30" i="6"/>
  <c r="M30" i="6"/>
  <c r="O30" i="6" s="1"/>
  <c r="L30" i="6"/>
  <c r="R29" i="6"/>
  <c r="O29" i="6"/>
  <c r="Q29" i="6" s="1"/>
  <c r="N29" i="6"/>
  <c r="M29" i="6"/>
  <c r="L29" i="6"/>
  <c r="R28" i="6"/>
  <c r="N28" i="6"/>
  <c r="M28" i="6"/>
  <c r="O28" i="6" s="1"/>
  <c r="L28" i="6"/>
  <c r="R27" i="6"/>
  <c r="O27" i="6"/>
  <c r="N27" i="6"/>
  <c r="P27" i="6" s="1"/>
  <c r="M27" i="6"/>
  <c r="L27" i="6"/>
  <c r="R26" i="6"/>
  <c r="N26" i="6"/>
  <c r="M26" i="6"/>
  <c r="O26" i="6" s="1"/>
  <c r="Q26" i="6" s="1"/>
  <c r="L26" i="6"/>
  <c r="R25" i="6"/>
  <c r="N25" i="6"/>
  <c r="M25" i="6"/>
  <c r="O25" i="6" s="1"/>
  <c r="Q25" i="6" s="1"/>
  <c r="L25" i="6"/>
  <c r="R24" i="6"/>
  <c r="O24" i="6"/>
  <c r="N24" i="6"/>
  <c r="P24" i="6" s="1"/>
  <c r="M24" i="6"/>
  <c r="L24" i="6"/>
  <c r="R23" i="6"/>
  <c r="Q23" i="6"/>
  <c r="N23" i="6"/>
  <c r="P23" i="6" s="1"/>
  <c r="M23" i="6"/>
  <c r="O23" i="6" s="1"/>
  <c r="L23" i="6"/>
  <c r="R22" i="6"/>
  <c r="N22" i="6"/>
  <c r="M22" i="6"/>
  <c r="O22" i="6" s="1"/>
  <c r="Q22" i="6" s="1"/>
  <c r="L22" i="6"/>
  <c r="R21" i="6"/>
  <c r="N21" i="6"/>
  <c r="P21" i="6" s="1"/>
  <c r="M21" i="6"/>
  <c r="O21" i="6" s="1"/>
  <c r="L21" i="6"/>
  <c r="R20" i="6"/>
  <c r="N20" i="6"/>
  <c r="M20" i="6"/>
  <c r="O20" i="6" s="1"/>
  <c r="Q20" i="6" s="1"/>
  <c r="L20" i="6"/>
  <c r="R19" i="6"/>
  <c r="P19" i="6"/>
  <c r="O19" i="6"/>
  <c r="Q19" i="6" s="1"/>
  <c r="N19" i="6"/>
  <c r="M19" i="6"/>
  <c r="L19" i="6"/>
  <c r="R18" i="6"/>
  <c r="N18" i="6"/>
  <c r="M18" i="6"/>
  <c r="O18" i="6" s="1"/>
  <c r="Q18" i="6" s="1"/>
  <c r="L18" i="6"/>
  <c r="R17" i="6"/>
  <c r="O17" i="6"/>
  <c r="Q17" i="6" s="1"/>
  <c r="N17" i="6"/>
  <c r="P17" i="6" s="1"/>
  <c r="M17" i="6"/>
  <c r="L17" i="6"/>
  <c r="R16" i="6"/>
  <c r="Q16" i="6"/>
  <c r="P16" i="6"/>
  <c r="O16" i="6"/>
  <c r="N16" i="6"/>
  <c r="M16" i="6"/>
  <c r="L16" i="6"/>
  <c r="R15" i="6"/>
  <c r="N15" i="6"/>
  <c r="M15" i="6"/>
  <c r="O15" i="6" s="1"/>
  <c r="L15" i="6"/>
  <c r="R14" i="6"/>
  <c r="P14" i="6"/>
  <c r="O14" i="6"/>
  <c r="Q14" i="6" s="1"/>
  <c r="N14" i="6"/>
  <c r="M14" i="6"/>
  <c r="L14" i="6"/>
  <c r="R13" i="6"/>
  <c r="Q13" i="6"/>
  <c r="P13" i="6"/>
  <c r="N13" i="6"/>
  <c r="M13" i="6"/>
  <c r="O13" i="6" s="1"/>
  <c r="L13" i="6"/>
  <c r="G2" i="5"/>
  <c r="E2" i="5"/>
  <c r="H2" i="5" s="1"/>
  <c r="F16" i="4"/>
  <c r="F15" i="4"/>
  <c r="F14" i="4"/>
  <c r="G2" i="4"/>
  <c r="E2" i="4"/>
  <c r="H2" i="4" s="1"/>
  <c r="G2" i="3"/>
  <c r="E2" i="3"/>
  <c r="H2" i="3" s="1"/>
  <c r="G260" i="2"/>
  <c r="F260" i="2"/>
  <c r="H260" i="2" s="1"/>
  <c r="I260" i="2" s="1"/>
  <c r="G259" i="2"/>
  <c r="F259" i="2"/>
  <c r="H259" i="2" s="1"/>
  <c r="I259" i="2" s="1"/>
  <c r="H258" i="2"/>
  <c r="I258" i="2" s="1"/>
  <c r="G258" i="2"/>
  <c r="F258" i="2"/>
  <c r="I257" i="2"/>
  <c r="H257" i="2"/>
  <c r="G257" i="2"/>
  <c r="F257" i="2"/>
  <c r="I256" i="2"/>
  <c r="H256" i="2"/>
  <c r="G256" i="2"/>
  <c r="F256" i="2"/>
  <c r="G255" i="2"/>
  <c r="F255" i="2"/>
  <c r="H255" i="2" s="1"/>
  <c r="I255" i="2" s="1"/>
  <c r="G254" i="2"/>
  <c r="F254" i="2"/>
  <c r="H254" i="2" s="1"/>
  <c r="I254" i="2" s="1"/>
  <c r="G253" i="2"/>
  <c r="F253" i="2"/>
  <c r="H253" i="2" s="1"/>
  <c r="I253" i="2" s="1"/>
  <c r="I252" i="2"/>
  <c r="H252" i="2"/>
  <c r="G252" i="2"/>
  <c r="F252" i="2"/>
  <c r="H251" i="2"/>
  <c r="I251" i="2" s="1"/>
  <c r="G251" i="2"/>
  <c r="F251" i="2"/>
  <c r="G250" i="2"/>
  <c r="F250" i="2"/>
  <c r="H250" i="2" s="1"/>
  <c r="I250" i="2" s="1"/>
  <c r="G249" i="2"/>
  <c r="F249" i="2"/>
  <c r="H249" i="2" s="1"/>
  <c r="I249" i="2" s="1"/>
  <c r="H248" i="2"/>
  <c r="I248" i="2" s="1"/>
  <c r="G248" i="2"/>
  <c r="F248" i="2"/>
  <c r="I247" i="2"/>
  <c r="H247" i="2"/>
  <c r="G247" i="2"/>
  <c r="F247" i="2"/>
  <c r="I246" i="2"/>
  <c r="H246" i="2"/>
  <c r="G246" i="2"/>
  <c r="F246" i="2"/>
  <c r="H245" i="2"/>
  <c r="G245" i="2"/>
  <c r="F245" i="2"/>
  <c r="H244" i="2"/>
  <c r="F244" i="2"/>
  <c r="G240" i="2"/>
  <c r="F240" i="2"/>
  <c r="H239" i="2"/>
  <c r="G239" i="2"/>
  <c r="F239" i="2"/>
  <c r="H238" i="2"/>
  <c r="G238" i="2"/>
  <c r="F238" i="2"/>
  <c r="G237" i="2"/>
  <c r="H237" i="2" s="1"/>
  <c r="F237" i="2"/>
  <c r="G236" i="2"/>
  <c r="H236" i="2" s="1"/>
  <c r="F236" i="2"/>
  <c r="G235" i="2"/>
  <c r="H235" i="2" s="1"/>
  <c r="F235" i="2"/>
  <c r="G234" i="2"/>
  <c r="H234" i="2" s="1"/>
  <c r="F234" i="2"/>
  <c r="G233" i="2"/>
  <c r="H233" i="2" s="1"/>
  <c r="F233" i="2"/>
  <c r="G232" i="2"/>
  <c r="F232" i="2"/>
  <c r="H231" i="2"/>
  <c r="G231" i="2"/>
  <c r="F231" i="2"/>
  <c r="G230" i="2"/>
  <c r="H230" i="2" s="1"/>
  <c r="F230" i="2"/>
  <c r="G229" i="2"/>
  <c r="F229" i="2"/>
  <c r="H229" i="2" s="1"/>
  <c r="H228" i="2"/>
  <c r="G228" i="2"/>
  <c r="F228" i="2"/>
  <c r="G227" i="2"/>
  <c r="H227" i="2" s="1"/>
  <c r="F227" i="2"/>
  <c r="G226" i="2"/>
  <c r="H226" i="2" s="1"/>
  <c r="F226" i="2"/>
  <c r="G225" i="2"/>
  <c r="H225" i="2" s="1"/>
  <c r="F225" i="2"/>
  <c r="G224" i="2"/>
  <c r="H224" i="2" s="1"/>
  <c r="F224" i="2"/>
  <c r="H223" i="2"/>
  <c r="G223" i="2"/>
  <c r="F223" i="2"/>
  <c r="G222" i="2"/>
  <c r="H222" i="2" s="1"/>
  <c r="F222" i="2"/>
  <c r="H221" i="2"/>
  <c r="G221" i="2"/>
  <c r="F221" i="2"/>
  <c r="G220" i="2"/>
  <c r="H220" i="2" s="1"/>
  <c r="F220" i="2"/>
  <c r="G219" i="2"/>
  <c r="F219" i="2"/>
  <c r="H219" i="2" s="1"/>
  <c r="H218" i="2"/>
  <c r="G218" i="2"/>
  <c r="F218" i="2"/>
  <c r="G217" i="2"/>
  <c r="F217" i="2"/>
  <c r="G216" i="2"/>
  <c r="H216" i="2" s="1"/>
  <c r="F216" i="2"/>
  <c r="G215" i="2"/>
  <c r="H215" i="2" s="1"/>
  <c r="F215" i="2"/>
  <c r="G214" i="2"/>
  <c r="H214" i="2" s="1"/>
  <c r="F214" i="2"/>
  <c r="H213" i="2"/>
  <c r="G213" i="2"/>
  <c r="F213" i="2"/>
  <c r="G212" i="2"/>
  <c r="H212" i="2" s="1"/>
  <c r="F212" i="2"/>
  <c r="H211" i="2"/>
  <c r="G211" i="2"/>
  <c r="F211" i="2"/>
  <c r="G210" i="2"/>
  <c r="H210" i="2" s="1"/>
  <c r="F210" i="2"/>
  <c r="G209" i="2"/>
  <c r="F209" i="2"/>
  <c r="H209" i="2" s="1"/>
  <c r="G208" i="2"/>
  <c r="H208" i="2" s="1"/>
  <c r="F208" i="2"/>
  <c r="H207" i="2"/>
  <c r="G207" i="2"/>
  <c r="F207" i="2"/>
  <c r="H206" i="2"/>
  <c r="G206" i="2"/>
  <c r="F206" i="2"/>
  <c r="D202" i="2"/>
  <c r="D199" i="2"/>
  <c r="D198" i="2"/>
  <c r="D197" i="2"/>
  <c r="D196" i="2"/>
  <c r="D195" i="2"/>
  <c r="D194" i="2"/>
  <c r="D167" i="2"/>
  <c r="D161" i="2"/>
  <c r="D160" i="2"/>
  <c r="K161" i="2" s="1"/>
  <c r="K154" i="2"/>
  <c r="D154" i="2"/>
  <c r="D153" i="2"/>
  <c r="D147" i="2"/>
  <c r="K147" i="2" s="1"/>
  <c r="D146" i="2"/>
  <c r="F61" i="2"/>
  <c r="F60" i="2"/>
  <c r="F59" i="2"/>
  <c r="F58" i="2"/>
  <c r="F57" i="2"/>
  <c r="G2" i="2"/>
  <c r="E2" i="2"/>
  <c r="H2" i="2" s="1"/>
  <c r="P92" i="8" l="1"/>
  <c r="Q30" i="8"/>
  <c r="P30" i="8"/>
  <c r="P8" i="8"/>
  <c r="Q86" i="8"/>
  <c r="H217" i="2"/>
  <c r="P109" i="8"/>
  <c r="P192" i="8"/>
  <c r="Q189" i="8"/>
  <c r="P189" i="8"/>
  <c r="P35" i="6"/>
  <c r="P38" i="6"/>
  <c r="Q19" i="8"/>
  <c r="P19" i="8"/>
  <c r="Q99" i="8"/>
  <c r="P153" i="8"/>
  <c r="P168" i="8"/>
  <c r="M35" i="10"/>
  <c r="L35" i="10"/>
  <c r="P146" i="8"/>
  <c r="Q146" i="8"/>
  <c r="P9" i="9"/>
  <c r="P174" i="8"/>
  <c r="Q198" i="8"/>
  <c r="Q28" i="6"/>
  <c r="P28" i="6"/>
  <c r="Q34" i="8"/>
  <c r="P34" i="8"/>
  <c r="Q170" i="8"/>
  <c r="P232" i="8"/>
  <c r="P238" i="8"/>
  <c r="P241" i="8"/>
  <c r="P244" i="8"/>
  <c r="K32" i="10"/>
  <c r="L32" i="10"/>
  <c r="Q143" i="8"/>
  <c r="P143" i="8"/>
  <c r="P69" i="10"/>
  <c r="P75" i="8"/>
  <c r="P18" i="6"/>
  <c r="P95" i="8"/>
  <c r="P103" i="8"/>
  <c r="Q149" i="8"/>
  <c r="Q165" i="8"/>
  <c r="P165" i="8"/>
  <c r="P212" i="8"/>
  <c r="P72" i="8"/>
  <c r="Q151" i="8"/>
  <c r="P151" i="8"/>
  <c r="M25" i="10"/>
  <c r="L25" i="10"/>
  <c r="K25" i="10"/>
  <c r="H240" i="2"/>
  <c r="P89" i="8"/>
  <c r="P171" i="8"/>
  <c r="Q171" i="8"/>
  <c r="Q195" i="8"/>
  <c r="M21" i="10"/>
  <c r="K21" i="10"/>
  <c r="L21" i="10"/>
  <c r="Q24" i="6"/>
  <c r="H232" i="2"/>
  <c r="P17" i="7"/>
  <c r="Q160" i="8"/>
  <c r="P207" i="8"/>
  <c r="Q181" i="8"/>
  <c r="Q15" i="6"/>
  <c r="P15" i="6"/>
  <c r="P27" i="8"/>
  <c r="P116" i="8"/>
  <c r="P130" i="8"/>
  <c r="P220" i="8"/>
  <c r="M17" i="10"/>
  <c r="P57" i="10"/>
  <c r="Q21" i="6"/>
  <c r="P18" i="8"/>
  <c r="O16" i="7"/>
  <c r="P31" i="7"/>
  <c r="P74" i="8"/>
  <c r="P145" i="8"/>
  <c r="Q17" i="8"/>
  <c r="P33" i="8"/>
  <c r="Q115" i="8"/>
  <c r="P129" i="8"/>
  <c r="P152" i="8"/>
  <c r="Q169" i="8"/>
  <c r="Q222" i="8"/>
  <c r="Q102" i="8"/>
  <c r="P102" i="8"/>
  <c r="Q27" i="6"/>
  <c r="P11" i="8"/>
  <c r="P98" i="8"/>
  <c r="Q184" i="8"/>
  <c r="Q201" i="8"/>
  <c r="M24" i="10"/>
  <c r="L24" i="10"/>
  <c r="P20" i="6"/>
  <c r="P20" i="7"/>
  <c r="Q26" i="8"/>
  <c r="P66" i="8"/>
  <c r="Q82" i="8"/>
  <c r="P82" i="8"/>
  <c r="P173" i="8"/>
  <c r="P194" i="8"/>
  <c r="Q208" i="8"/>
  <c r="P199" i="8"/>
  <c r="J10" i="9"/>
  <c r="P29" i="6"/>
  <c r="P14" i="7"/>
  <c r="P31" i="8"/>
  <c r="Q83" i="8"/>
  <c r="P117" i="8"/>
  <c r="P150" i="8"/>
  <c r="P227" i="8"/>
  <c r="M22" i="10"/>
  <c r="L22" i="10"/>
  <c r="K22" i="10"/>
  <c r="P40" i="7"/>
  <c r="P96" i="8"/>
  <c r="P209" i="8"/>
  <c r="P25" i="6"/>
  <c r="Q113" i="8"/>
  <c r="P215" i="8"/>
  <c r="J6" i="9"/>
  <c r="K29" i="10"/>
  <c r="P22" i="7"/>
  <c r="P76" i="8"/>
  <c r="P104" i="8"/>
  <c r="P137" i="8"/>
  <c r="Q158" i="8"/>
  <c r="P158" i="8"/>
  <c r="P236" i="8"/>
  <c r="P239" i="8"/>
  <c r="K18" i="10"/>
  <c r="I245" i="2"/>
  <c r="P16" i="8"/>
  <c r="P26" i="6"/>
  <c r="P28" i="8"/>
  <c r="P84" i="8"/>
  <c r="P87" i="8"/>
  <c r="P90" i="8"/>
  <c r="Q97" i="8"/>
  <c r="P114" i="8"/>
  <c r="P183" i="8"/>
  <c r="Q186" i="8"/>
  <c r="P200" i="8"/>
  <c r="P210" i="8"/>
  <c r="P21" i="7"/>
  <c r="P79" i="8"/>
  <c r="P157" i="8"/>
  <c r="Q182" i="8"/>
  <c r="P182" i="8"/>
  <c r="Q223" i="8"/>
  <c r="Q9" i="8"/>
  <c r="P9" i="8"/>
  <c r="L18" i="10"/>
  <c r="P22" i="6"/>
  <c r="Q39" i="6"/>
  <c r="O26" i="7"/>
  <c r="P6" i="8"/>
  <c r="P93" i="8"/>
  <c r="P154" i="8"/>
  <c r="P175" i="8"/>
  <c r="P196" i="8"/>
  <c r="P218" i="8"/>
  <c r="O11" i="9"/>
  <c r="P11" i="9" s="1"/>
  <c r="J11" i="9"/>
  <c r="P30" i="6"/>
  <c r="P33" i="6"/>
  <c r="P30" i="7"/>
  <c r="Q73" i="8"/>
  <c r="P101" i="8"/>
  <c r="Q138" i="8"/>
  <c r="P138" i="8"/>
  <c r="M19" i="10"/>
  <c r="K33" i="10"/>
  <c r="Q94" i="8"/>
  <c r="P111" i="8"/>
  <c r="Q155" i="8"/>
  <c r="K19" i="10"/>
  <c r="L27" i="10"/>
  <c r="K27" i="10"/>
  <c r="L30" i="10"/>
  <c r="L33" i="10"/>
  <c r="P140" i="8"/>
  <c r="Q40" i="6"/>
  <c r="P172" i="8"/>
  <c r="P231" i="8"/>
  <c r="P234" i="8"/>
  <c r="P7" i="9"/>
  <c r="M30" i="10"/>
  <c r="P81" i="8"/>
  <c r="M16" i="10"/>
  <c r="K17" i="10"/>
  <c r="L17" i="10"/>
  <c r="K20" i="10"/>
  <c r="L19" i="10"/>
  <c r="K8" i="10"/>
  <c r="K2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500-000001000000}">
      <text>
        <r>
          <rPr>
            <sz val="10"/>
            <color rgb="FF000000"/>
            <rFont val="Arial"/>
            <scheme val="minor"/>
          </rPr>
          <t>This is a comment. Is often used if the comment area is not large enough at the beginning or to specify results more precisely (e.g. value is unstable).</t>
        </r>
      </text>
    </comment>
    <comment ref="AA12" authorId="0" shapeId="0" xr:uid="{00000000-0006-0000-0500-000002000000}">
      <text>
        <r>
          <rPr>
            <sz val="10"/>
            <color rgb="FF000000"/>
            <rFont val="Arial"/>
            <scheme val="minor"/>
          </rPr>
          <t xml:space="preserve">gemessen, wo jetzt der Temp tensor klebt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600-000001000000}">
      <text>
        <r>
          <rPr>
            <sz val="10"/>
            <color rgb="FF000000"/>
            <rFont val="Arial"/>
            <scheme val="minor"/>
          </rPr>
          <t>This is a comment. Is often used if the comment area is not large enough at the beginning or to specify results more precisely (e.g. value is unstable).</t>
        </r>
      </text>
    </comment>
    <comment ref="Z12" authorId="0" shapeId="0" xr:uid="{00000000-0006-0000-0600-000002000000}">
      <text>
        <r>
          <rPr>
            <sz val="10"/>
            <color rgb="FF000000"/>
            <rFont val="Arial"/>
            <scheme val="minor"/>
          </rPr>
          <t xml:space="preserve">gemessen, wo jetzt der Temp tensor klebt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01000000}">
      <text>
        <r>
          <rPr>
            <sz val="10"/>
            <color rgb="FF000000"/>
            <rFont val="Arial"/>
            <scheme val="minor"/>
          </rPr>
          <t>The Identifier is used in the name for Oscilloscope Screenshots.
Format: Screenshot_DATE-TIMEidentifierROWcomment
Example: 
Screenshot_20241201-223219T731 OUTPUT</t>
        </r>
      </text>
    </comment>
    <comment ref="A36" authorId="0" shapeId="0" xr:uid="{00000000-0006-0000-0700-000002000000}">
      <text>
        <r>
          <rPr>
            <sz val="10"/>
            <color rgb="FF000000"/>
            <rFont val="Arial"/>
            <scheme val="minor"/>
          </rPr>
          <t xml:space="preserve">struggles with both
</t>
        </r>
      </text>
    </comment>
    <comment ref="A142" authorId="0" shapeId="0" xr:uid="{00000000-0006-0000-0700-000003000000}">
      <text>
        <r>
          <rPr>
            <sz val="10"/>
            <color rgb="FF000000"/>
            <rFont val="Arial"/>
            <scheme val="minor"/>
          </rPr>
          <t>Lowpass limit frequency 9.7 MHz....  HMM.......MMMM.. WELL...</t>
        </r>
      </text>
    </comment>
    <comment ref="A150" authorId="0" shapeId="0" xr:uid="{00000000-0006-0000-0700-000004000000}">
      <text>
        <r>
          <rPr>
            <sz val="10"/>
            <color rgb="FF000000"/>
            <rFont val="Arial"/>
            <scheme val="minor"/>
          </rPr>
          <t xml:space="preserve">Delay between first undershoot and SR switch-on 725 ns / 1.38 MHz. Sub ringing at 140 ns / 7.14 MHz. Interference ringing at 113.6 MHz (probably junction capacitance) Or simply bad measurement (no gnd spring)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8" authorId="0" shapeId="0" xr:uid="{00000000-0006-0000-0800-000001000000}">
      <text>
        <r>
          <rPr>
            <sz val="10"/>
            <color rgb="FF000000"/>
            <rFont val="Arial"/>
            <scheme val="minor"/>
          </rPr>
          <t xml:space="preserve">0,95 -&gt; 159,6 Target / 149,5 actual Measured -&gt; 6,8% too little air gap
</t>
        </r>
      </text>
    </comment>
    <comment ref="C16" authorId="0" shapeId="0" xr:uid="{00000000-0006-0000-0800-000002000000}">
      <text>
        <r>
          <rPr>
            <sz val="10"/>
            <color rgb="FF000000"/>
            <rFont val="Arial"/>
            <scheme val="minor"/>
          </rPr>
          <t>Prepreg 7628: 4,4
Core: 4,6</t>
        </r>
      </text>
    </comment>
    <comment ref="C18" authorId="0" shapeId="0" xr:uid="{00000000-0006-0000-0800-000003000000}">
      <text>
        <r>
          <rPr>
            <sz val="10"/>
            <color rgb="FF000000"/>
            <rFont val="Arial"/>
            <scheme val="minor"/>
          </rPr>
          <t>Prepreg 4 Layer: 210 µm
Core 4 Layer: 1065 µm
JLC Stackup Calc:
https://jlcpcb.com/impedance</t>
        </r>
      </text>
    </comment>
    <comment ref="B27" authorId="0" shapeId="0" xr:uid="{00000000-0006-0000-0800-000004000000}">
      <text>
        <r>
          <rPr>
            <sz val="10"/>
            <color rgb="FF000000"/>
            <rFont val="Arial"/>
            <scheme val="minor"/>
          </rPr>
          <t>Air gap is subtracted from the mag. length in the R_m calculation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1" authorId="0" shapeId="0" xr:uid="{00000000-0006-0000-0900-000001000000}">
      <text>
        <r>
          <rPr>
            <sz val="10"/>
            <color rgb="FF000000"/>
            <rFont val="Arial"/>
            <scheme val="minor"/>
          </rPr>
          <t>v9-2 und v9-3</t>
        </r>
      </text>
    </comment>
    <comment ref="A15" authorId="0" shapeId="0" xr:uid="{00000000-0006-0000-0900-000002000000}">
      <text>
        <r>
          <rPr>
            <sz val="10"/>
            <color rgb="FF000000"/>
            <rFont val="Arial"/>
            <scheme val="minor"/>
          </rPr>
          <t>v9 Alternative</t>
        </r>
      </text>
    </comment>
    <comment ref="A16" authorId="0" shapeId="0" xr:uid="{00000000-0006-0000-0900-000003000000}">
      <text>
        <r>
          <rPr>
            <sz val="10"/>
            <color rgb="FF000000"/>
            <rFont val="Arial"/>
            <scheme val="minor"/>
          </rPr>
          <t xml:space="preserve">in DC/DCv9 verwendet
</t>
        </r>
      </text>
    </comment>
    <comment ref="A49" authorId="0" shapeId="0" xr:uid="{00000000-0006-0000-0900-000004000000}">
      <text>
        <r>
          <rPr>
            <sz val="10"/>
            <color rgb="FF000000"/>
            <rFont val="Arial"/>
            <scheme val="minor"/>
          </rPr>
          <t>v9-3</t>
        </r>
      </text>
    </comment>
  </commentList>
</comments>
</file>

<file path=xl/sharedStrings.xml><?xml version="1.0" encoding="utf-8"?>
<sst xmlns="http://schemas.openxmlformats.org/spreadsheetml/2006/main" count="3326" uniqueCount="810">
  <si>
    <t>DCDCv9-3 Table</t>
  </si>
  <si>
    <r>
      <t xml:space="preserve">GitHub: </t>
    </r>
    <r>
      <rPr>
        <b/>
        <u/>
        <sz val="12"/>
        <color rgb="FF1155CC"/>
        <rFont val="&quot;Helvetica Neue&quot;, sans-serif"/>
      </rPr>
      <t>https://github.com/Rootthecause/DCDC</t>
    </r>
  </si>
  <si>
    <t>Date:</t>
  </si>
  <si>
    <t>Dear user!
The author is not liable for any damages in connection with this document, nor does he guarantee the functionality or correctness of the formulas and measurements described.
Use is at your own risk!</t>
  </si>
  <si>
    <t>This document was created in Google Sheets. The design and functions may vary if a different application used is used.</t>
  </si>
  <si>
    <r>
      <t xml:space="preserve">Found an error? Please submit an </t>
    </r>
    <r>
      <rPr>
        <u/>
        <sz val="10"/>
        <color rgb="FF1155CC"/>
        <rFont val="Arial"/>
      </rPr>
      <t>Issue</t>
    </r>
    <r>
      <rPr>
        <sz val="10"/>
        <color rgb="FF000000"/>
        <rFont val="Arial"/>
        <scheme val="minor"/>
      </rPr>
      <t xml:space="preserve"> on GitHub. Thanks a lot!</t>
    </r>
  </si>
  <si>
    <t>Revision History</t>
  </si>
  <si>
    <t>May 20, 2025</t>
  </si>
  <si>
    <t>Added Revision History, Added Cstart1 (Internenal Power Supply) storage time and voltage after this time</t>
  </si>
  <si>
    <t>May 22, 2025</t>
  </si>
  <si>
    <t>Unified date format to DD.MM.YY , renamed 24V_in on the output side to 24V output, assigned 12.2V to the LV side, changed color from green to orange in the Measurements Table for optional measurements, fixed capacitor loss calculator (results where too high by a factor of 2)</t>
  </si>
  <si>
    <t>Checklist DCDCv9-3</t>
  </si>
  <si>
    <t>Identifier for Oscilloscope Screenshots: C</t>
  </si>
  <si>
    <t>Test passed</t>
  </si>
  <si>
    <t>of</t>
  </si>
  <si>
    <t>tests done</t>
  </si>
  <si>
    <t>Essential</t>
  </si>
  <si>
    <t>Module</t>
  </si>
  <si>
    <t>Parameter</t>
  </si>
  <si>
    <t>Value</t>
  </si>
  <si>
    <t>Unit</t>
  </si>
  <si>
    <t>Date</t>
  </si>
  <si>
    <t>Status</t>
  </si>
  <si>
    <t>Comment</t>
  </si>
  <si>
    <t>x</t>
  </si>
  <si>
    <t>Start-up Cap Supply</t>
  </si>
  <si>
    <t>Charging Voltage (with C_start), DC/DC Disabled</t>
  </si>
  <si>
    <t>V</t>
  </si>
  <si>
    <t xml:space="preserve"> min. 3,5</t>
  </si>
  <si>
    <t>max. 3,8</t>
  </si>
  <si>
    <t>OK</t>
  </si>
  <si>
    <t>Constant above 7 V_in (which is the Voltage on the output connector)</t>
  </si>
  <si>
    <t>Charging Voltage (with C_start), DC/DC Enabled, U_in = 600 V, IDLE, 5V Fan OFF</t>
  </si>
  <si>
    <t>Charging Voltage (with C_start), DC/DC Enabled, U_in = 600 V, IDLE, 5V Fan ON</t>
  </si>
  <si>
    <t>Capacitor Shipping Voltage</t>
  </si>
  <si>
    <t>Input current with fully charged capacitor, 24V output, Disabled</t>
  </si>
  <si>
    <t>mA</t>
  </si>
  <si>
    <t>Input current with fully charged capacitor, 24V output, Enabled</t>
  </si>
  <si>
    <t>Input current with fully charged capacitor, 24V output, Enabled, with 5V Fan, 21°C RT</t>
  </si>
  <si>
    <t>Discharge Current (DC/DC Enabled) no HV, Cap @ 3,70 V</t>
  </si>
  <si>
    <t xml:space="preserve">Discharge Current (DC/DC Enabled) 200 V </t>
  </si>
  <si>
    <t xml:space="preserve">Discharge Current (DC/DC Enabled) 300 V </t>
  </si>
  <si>
    <t xml:space="preserve">Discharge Current (DC/DC Enabled) 400 V </t>
  </si>
  <si>
    <t xml:space="preserve">Discharge Current (DC/DC Enabled) 500 V </t>
  </si>
  <si>
    <t xml:space="preserve">Discharge Current (DC/DC Enabled) 600 V </t>
  </si>
  <si>
    <t xml:space="preserve">Start-up Cap Supply </t>
  </si>
  <si>
    <t>Hold-Up time, DC/DC Enabled, no HV</t>
  </si>
  <si>
    <t>s</t>
  </si>
  <si>
    <t>Hold-Up time, DC/DC Disbaled</t>
  </si>
  <si>
    <t>&gt; 6</t>
  </si>
  <si>
    <t>months</t>
  </si>
  <si>
    <t>after 6 Months of not in use ~20 mV reduction, probably fine for &gt;12 Months.</t>
  </si>
  <si>
    <t>Voltage after 6 months, DC/DC Disbaled</t>
  </si>
  <si>
    <t>5V LED / step-down turn off input voltage</t>
  </si>
  <si>
    <t xml:space="preserve">5V LED / step-down turn off time by discharging C11+C13 from 24V, no load, </t>
  </si>
  <si>
    <t>Step-Up UVLO</t>
  </si>
  <si>
    <t>must be above min. C_start voltage</t>
  </si>
  <si>
    <t xml:space="preserve"> min. 2,5</t>
  </si>
  <si>
    <t xml:space="preserve"> max. 3</t>
  </si>
  <si>
    <t>OK but improveable</t>
  </si>
  <si>
    <t>without C_start: 2,45 V.</t>
  </si>
  <si>
    <t>LV Voltage LV Side Current</t>
  </si>
  <si>
    <t>U_in = 0 V / DC/DC Enabled, IDLE, 12.2 V LV</t>
  </si>
  <si>
    <t>LV Voltage LV Side Voltage</t>
  </si>
  <si>
    <t>U_in = 0 V / DC/DC Enabled, IDLE</t>
  </si>
  <si>
    <t>LV Voltage 9 V LDO</t>
  </si>
  <si>
    <t>U_in = 0 V / DC/DC Enabled, IDLE, 12.2 V LV, 20,1°C RT</t>
  </si>
  <si>
    <t>LV Voltage, HV Side</t>
  </si>
  <si>
    <t>LV Voltage, HV Side after D11</t>
  </si>
  <si>
    <t>LV Voltage, HV Side after D14</t>
  </si>
  <si>
    <t>MOSFET top supply Voltage (VDDA-VSSA)</t>
  </si>
  <si>
    <t>U_in = 200 V / DC/DC Enabled, IDLE, Cap @ 3,75 V</t>
  </si>
  <si>
    <t>WARNING: DO NOT MEASURE THIS WITHOUT EXTRA PRECAUTION! HV SWITCHNODE!</t>
  </si>
  <si>
    <t>U_in = 300 V / DC/DC Enabled, IDLE, Cap @ 3,75 V</t>
  </si>
  <si>
    <t>U_in = 400 V / DC/DC Enabled, IDLE, Cap @ 3,75 V</t>
  </si>
  <si>
    <t>U_in = 500 V / DC/DC Enabled, IDLE, Cap @ 3,75 V</t>
  </si>
  <si>
    <t>U_in = 600 V / DC/DC Enabled, IDLE, Cap @ 3,75 V</t>
  </si>
  <si>
    <t>Precharge</t>
  </si>
  <si>
    <t xml:space="preserve">Precharge Close delay </t>
  </si>
  <si>
    <t>5,0 ... 5,3</t>
  </si>
  <si>
    <t>ms</t>
  </si>
  <si>
    <t>Only slightly dependent on U_in</t>
  </si>
  <si>
    <t>Precharge Close Voltage Jump</t>
  </si>
  <si>
    <t>Hard to measure, simulation might be more accurate</t>
  </si>
  <si>
    <t>Precharge Open Delay</t>
  </si>
  <si>
    <t>Mad-Scruti-Test (Enable/Disable DC/DC as mad as possible)</t>
  </si>
  <si>
    <t>PASS</t>
  </si>
  <si>
    <t>Precharge Time 200 V to 60V, 21°C RT</t>
  </si>
  <si>
    <t>Precharge Time 300 V to 60V, 21°C RT</t>
  </si>
  <si>
    <t>Precharge Time 400 V to 60V, 21°C RT</t>
  </si>
  <si>
    <t>Precharge Time 500 V to 60V, 21°C RT</t>
  </si>
  <si>
    <t>Precharge Time 600 V to 60V, 21°C RT</t>
  </si>
  <si>
    <t>Passive Discharge</t>
  </si>
  <si>
    <t>Discharge Time 200 V to 60V, 21°C RT</t>
  </si>
  <si>
    <t>Discharge Time 300 V to 60V, 21°C RT</t>
  </si>
  <si>
    <t>Discharge Time 400 V to 60V, 21°C RT</t>
  </si>
  <si>
    <t>Discharge Time 500 V to 60V, 21°C RT</t>
  </si>
  <si>
    <t>Discharge Time 600 V to 60V, 21°C RT</t>
  </si>
  <si>
    <t>Leakage Current Turned off</t>
  </si>
  <si>
    <t>200 V, 21°C RT</t>
  </si>
  <si>
    <t>nA</t>
  </si>
  <si>
    <t>13,3 GΩ</t>
  </si>
  <si>
    <t>300 V, 21°C RT</t>
  </si>
  <si>
    <t>10,7 GΩ</t>
  </si>
  <si>
    <t>400 V, 21°C RT</t>
  </si>
  <si>
    <t>9,8 GΩ</t>
  </si>
  <si>
    <t>500 V, 21°C RT</t>
  </si>
  <si>
    <t>8,9 GΩ</t>
  </si>
  <si>
    <t>600 V, 21°C RT</t>
  </si>
  <si>
    <t>8,0 GΩ</t>
  </si>
  <si>
    <t>Input Current, Turned ON, below UVP</t>
  </si>
  <si>
    <t>50V, 21°C RT</t>
  </si>
  <si>
    <t>µA</t>
  </si>
  <si>
    <t>100V, 21°C RT</t>
  </si>
  <si>
    <t>150V, 21°C RT</t>
  </si>
  <si>
    <t>200V, 21°C RT</t>
  </si>
  <si>
    <t>Input Current, Turned ON, above UVP</t>
  </si>
  <si>
    <t>200 V, 21°C RT, no Fan, dead time = 80°</t>
  </si>
  <si>
    <t>W</t>
  </si>
  <si>
    <t>300 V, 21°C RT, no Fan, dead time = 80°</t>
  </si>
  <si>
    <t>400 V, 21°C RT, no Fan, dead time = 80°</t>
  </si>
  <si>
    <t>500 V, 21°C RT, no Fan, dead time = 80°</t>
  </si>
  <si>
    <t>600 V, 21°C RT, no Fan, dead time = 80°</t>
  </si>
  <si>
    <t>Oscillator</t>
  </si>
  <si>
    <t>Soft Startup no C34 frequency</t>
  </si>
  <si>
    <t>kHz</t>
  </si>
  <si>
    <t>Calculated</t>
  </si>
  <si>
    <t>Soft Startup no C34 lenght</t>
  </si>
  <si>
    <t>Soft Startup with C34 = 22uF/1k frequency</t>
  </si>
  <si>
    <t>Soft Startup with C34 = 22uF/1k lenght, f_sw 350 kHz to 94 kHz</t>
  </si>
  <si>
    <t>Dead time min.</t>
  </si>
  <si>
    <t>ns</t>
  </si>
  <si>
    <t>Dead time middle</t>
  </si>
  <si>
    <t>Dead time max.</t>
  </si>
  <si>
    <t xml:space="preserve">Dead time potentiometer dead-room </t>
  </si>
  <si>
    <t>°</t>
  </si>
  <si>
    <t>Dead time, efficiency optimum 200 V</t>
  </si>
  <si>
    <t>2,96 kΩ</t>
  </si>
  <si>
    <t>Dead time, efficiency optimum 300 V</t>
  </si>
  <si>
    <t>Dead time, efficiency optimum 400 V</t>
  </si>
  <si>
    <t>Dead time, efficiency optimum 500 V</t>
  </si>
  <si>
    <t>optimum does not change at 100W load</t>
  </si>
  <si>
    <t>Dead time, efficiency optimum 600 V</t>
  </si>
  <si>
    <t>frequency Potentiometer shipped</t>
  </si>
  <si>
    <t>frequency min.</t>
  </si>
  <si>
    <t>frequency max.</t>
  </si>
  <si>
    <t>frequency min. recommended</t>
  </si>
  <si>
    <t>1,97 kΩ, but unsure what f_min is right now</t>
  </si>
  <si>
    <t>Misc</t>
  </si>
  <si>
    <t>Input reverse polarity Diode Test, 0.1A</t>
  </si>
  <si>
    <t>Input reverse polarity Diode Test, 0.5A</t>
  </si>
  <si>
    <t>Input reverse polarity Diode Test, 1A</t>
  </si>
  <si>
    <t>Input reverse polarity Diode Test, 2A</t>
  </si>
  <si>
    <t>Input</t>
  </si>
  <si>
    <t>Input Voltage Ripple, 0A Load, 400V</t>
  </si>
  <si>
    <t>Vrms</t>
  </si>
  <si>
    <t>NO LISN, Direct PFC feed with SDM inbetween</t>
  </si>
  <si>
    <t>Vpp</t>
  </si>
  <si>
    <t>Input Voltage Ripple, 10A Load, 400V</t>
  </si>
  <si>
    <t>Input Voltage Ripple, 20A Load, 400V</t>
  </si>
  <si>
    <t>Input Voltage Ripple, 30A Load, 400V</t>
  </si>
  <si>
    <t>Input Voltage Ripple, 0A Load, 500V</t>
  </si>
  <si>
    <t>Input Voltage Ripple, 0A Load, 600V</t>
  </si>
  <si>
    <t>Output</t>
  </si>
  <si>
    <t>output Voltage Ripple, 0A Load, 400V</t>
  </si>
  <si>
    <t>mVrms</t>
  </si>
  <si>
    <t>T747, NO LISN, Direct Load feed</t>
  </si>
  <si>
    <t>mVpp</t>
  </si>
  <si>
    <t>output Voltage Ripple, 10A Load, 400V</t>
  </si>
  <si>
    <t>T748, NO LISN, Direct Load feed</t>
  </si>
  <si>
    <t>output Voltage Ripple, 20A Load, 400V</t>
  </si>
  <si>
    <t>T749, NO LISN, Direct Load feed</t>
  </si>
  <si>
    <t>output Voltage Ripple, 30A Load, 400V</t>
  </si>
  <si>
    <t>T750, NO LISN, Direct Load feed</t>
  </si>
  <si>
    <t>Voltage Regulation</t>
  </si>
  <si>
    <t>output Voltage, 25°C RT</t>
  </si>
  <si>
    <t>24,09 ... 24,16</t>
  </si>
  <si>
    <t>depends on converter temperature</t>
  </si>
  <si>
    <t>minimum HV input for 24 V Output, set by f_min = 94 kHz</t>
  </si>
  <si>
    <t>Overshoot test with 4700 uF Load (uncharged), 400 V</t>
  </si>
  <si>
    <t>Vp</t>
  </si>
  <si>
    <t>162 ms</t>
  </si>
  <si>
    <t>Overshoot test with 4700 uF Load (uncharged), 500 V</t>
  </si>
  <si>
    <t>118 ms</t>
  </si>
  <si>
    <t>Overshoot test with 4700 uF Load (uncharged), 600 V</t>
  </si>
  <si>
    <t>36 ms</t>
  </si>
  <si>
    <t>Undershoot test with 300W Load 400 V</t>
  </si>
  <si>
    <t>mVp</t>
  </si>
  <si>
    <t xml:space="preserve">40 ms down / 1,8 up? </t>
  </si>
  <si>
    <t>Undershoot test with 300W Load 500 V</t>
  </si>
  <si>
    <t>46 ms down / 1,3s Up?</t>
  </si>
  <si>
    <t>Undershoot test with 300W Load 600 V</t>
  </si>
  <si>
    <t>52 ms down / 1,8 s up?</t>
  </si>
  <si>
    <t>UVP</t>
  </si>
  <si>
    <t>lock-in, 1.7 MΩ</t>
  </si>
  <si>
    <t>lock-out, 1.7 MΩ</t>
  </si>
  <si>
    <t>lock-in delay, 1.7 MΩ, C47 = 22nF, 200V</t>
  </si>
  <si>
    <t>lock-in delay, 1.7 MΩ, C47 = 22nF, 300V</t>
  </si>
  <si>
    <t>lock-in delay, 1.7 MΩ, C47 = 22nF, 400V</t>
  </si>
  <si>
    <t>lock-in delay, 1.7 MΩ, C47 = 22nF, 500V</t>
  </si>
  <si>
    <t>lock-in delay, 1.7 MΩ, C47 = 22nF, 600V</t>
  </si>
  <si>
    <t>OVP</t>
  </si>
  <si>
    <t>lock-in, 543 kΩ</t>
  </si>
  <si>
    <t>lock-out, 543 kΩ</t>
  </si>
  <si>
    <t>UCC25600 Overcurrent Protection</t>
  </si>
  <si>
    <t xml:space="preserve">Voltage mesured over C_res = 22,4 nF, U_in = 200 V </t>
  </si>
  <si>
    <t>tested but inaccurate, not important</t>
  </si>
  <si>
    <t>Overtemperature Lock-out</t>
  </si>
  <si>
    <t>TL072, 330k || 4k7, C28 = 100nF, C48 = 10nF</t>
  </si>
  <si>
    <t>°C</t>
  </si>
  <si>
    <t>Overtemperature Lock-in</t>
  </si>
  <si>
    <t>Fan control turn-on</t>
  </si>
  <si>
    <t>TL072</t>
  </si>
  <si>
    <t>Fan control turn-off</t>
  </si>
  <si>
    <t>Fan control Sensor Loss</t>
  </si>
  <si>
    <t>Fan behavior</t>
  </si>
  <si>
    <t>always on</t>
  </si>
  <si>
    <t>Fan 5V option</t>
  </si>
  <si>
    <t>current @ 3,75 V</t>
  </si>
  <si>
    <t>24V loop constrol influence</t>
  </si>
  <si>
    <t>none</t>
  </si>
  <si>
    <t>Fan 12V option</t>
  </si>
  <si>
    <t>Temperature</t>
  </si>
  <si>
    <t>Temperature after 10 min, open Air, 5V Fan ON, 0A load, 500V</t>
  </si>
  <si>
    <t>21°C RT</t>
  </si>
  <si>
    <t>Temperature after 10 min, open Air, 5V Fan ON, 10A load, 500V</t>
  </si>
  <si>
    <t>Temperature after 10 min, open Air, 5V Fan ON, 20A load, 500V</t>
  </si>
  <si>
    <t>Temperature after 5 min, open Air, 5V Fan ON, 25A load, 500V</t>
  </si>
  <si>
    <t>Temperature after 10 min, open Air, 5V Fan ON, 25A load, 500V</t>
  </si>
  <si>
    <t>Temperature after 1 min, open Air, 5V Fan ON, 30A load, 500V</t>
  </si>
  <si>
    <t>Hotbox Test, SR Temperature after 30 min</t>
  </si>
  <si>
    <t>converter inside a box with rising temp, Air Temperaure 
max. 60°C must be able to deliver 500W at 500V at 60°C for 30 minutes 
and then be able to be restarted after 5 seconds</t>
  </si>
  <si>
    <t>Sensor Temp / SR FET Temp</t>
  </si>
  <si>
    <t>Turns Ratio</t>
  </si>
  <si>
    <t>W1, W2, W3</t>
  </si>
  <si>
    <t>28 : 2 : 2</t>
  </si>
  <si>
    <t>Litz Wire Lenght W1 (SN: 67)</t>
  </si>
  <si>
    <t>Type: 120x 0.1 mm ø 0.92 mm^2 1.4 mm</t>
  </si>
  <si>
    <t>mm</t>
  </si>
  <si>
    <t>Litz Wire Lenght W2 (SN: 68)</t>
  </si>
  <si>
    <t>Type: 600x 0,071 mm ø 2,38 mm^2 2,4 mm</t>
  </si>
  <si>
    <t>Litz Wire Lenght W3 (SN: 69)</t>
  </si>
  <si>
    <t>Inductance W1</t>
  </si>
  <si>
    <r>
      <rPr>
        <sz val="10"/>
        <color theme="1"/>
        <rFont val="Arial"/>
      </rPr>
      <t xml:space="preserve">100 kHz 4 Vpp sine, </t>
    </r>
    <r>
      <rPr>
        <sz val="10"/>
        <color theme="1"/>
        <rFont val="Arial"/>
      </rPr>
      <t>N27+N97</t>
    </r>
  </si>
  <si>
    <t>µH</t>
  </si>
  <si>
    <t>Leakage Inductance W1</t>
  </si>
  <si>
    <t>W2 short, 100 kHz 4 Vpp Sine, AD2 = 10 Ω, N27+N97</t>
  </si>
  <si>
    <t>W3 short, 100 kHz 4 Vpp Sine, AD2 = 10 Ω, N27+N97</t>
  </si>
  <si>
    <r>
      <rPr>
        <sz val="10"/>
        <color theme="1"/>
        <rFont val="Arial"/>
      </rPr>
      <t xml:space="preserve">W2 and W3 short, 100 kHz 4 Vpp Sine, AD2 = 10 Ω, </t>
    </r>
    <r>
      <rPr>
        <sz val="10"/>
        <color theme="1"/>
        <rFont val="Arial"/>
      </rPr>
      <t>N27+N97</t>
    </r>
  </si>
  <si>
    <t>Inductance W2</t>
  </si>
  <si>
    <r>
      <rPr>
        <sz val="10"/>
        <color theme="1"/>
        <rFont val="Arial"/>
      </rPr>
      <t xml:space="preserve">100 kHz 4 Vpp Sine, AD2 = 10 Ω, </t>
    </r>
    <r>
      <rPr>
        <sz val="10"/>
        <color theme="1"/>
        <rFont val="Arial"/>
      </rPr>
      <t>N27+N97</t>
    </r>
  </si>
  <si>
    <t>Inductance W3</t>
  </si>
  <si>
    <t>Leakage Inductance W2</t>
  </si>
  <si>
    <t>Leakage Inductance W3</t>
  </si>
  <si>
    <t>Resistance W1</t>
  </si>
  <si>
    <t>DC, 20°C, 32,895 mV, 1008 mA</t>
  </si>
  <si>
    <t>mΩ</t>
  </si>
  <si>
    <t>DC, 100°C, 445,4 mV, 10504 mA, 21°C RT</t>
  </si>
  <si>
    <t>Temperarure coefficient (measured)</t>
  </si>
  <si>
    <t>10 kHz 4 Vpp sine, AD2 = 10 Ω, 2+3 shorted, 20°C</t>
  </si>
  <si>
    <t>100 kHz 4 Vpp Sine, AD2 = 10 Ω, 2+3 shorted, 20°C</t>
  </si>
  <si>
    <t>200 kHz 4 Vpp Sine, AD2 = 10 Ω, 2+3 shorted, 20°C</t>
  </si>
  <si>
    <t>350 kHz 4 Vpp Sine, AD2 = 10 Ω, 2+3 shorted, 20°C</t>
  </si>
  <si>
    <t>1000 kHz 4 Vpp Sine, AD2 = 10 Ω, 2+3 shorted, 20°C</t>
  </si>
  <si>
    <t>Resistance W2</t>
  </si>
  <si>
    <t>DC, 21°C, 6,740 mV, 5012 mA</t>
  </si>
  <si>
    <t>DC, 57°C, 30,46 mV, 19990 mA, 21°C RT</t>
  </si>
  <si>
    <t>10 kHz 4 Vpp Sine, AD2 = 10 Ω, W1 shorted, 20°C</t>
  </si>
  <si>
    <t>100 kHz 4 Vpp Sine, AD2 = 10 Ω, W1 shorted, 20°C</t>
  </si>
  <si>
    <t>200 kHz 4 Vpp Sine, AD2 = 10 Ω, W1 shorted, 20°C</t>
  </si>
  <si>
    <t>350 kHz 4 Vpp Sine, AD2 = 10 Ω, W1 shorted, 20°C</t>
  </si>
  <si>
    <t>1000 kHz 4 Vpp Sine, AD2 = 10 Ω, W1 shorted, 20°C</t>
  </si>
  <si>
    <t>Resistance W3</t>
  </si>
  <si>
    <t>DC, 21°C, 5,884 mV, 5010 mA</t>
  </si>
  <si>
    <t>DC, 66°C 27,175 mV, 19986 mA, 21°C RT</t>
  </si>
  <si>
    <t>10 kHz 4 Vpp Sine, AD2 = 10 Ω, W1 shorted</t>
  </si>
  <si>
    <t>100 kHz 4 Vpp Sine, AD2 = 10 Ω, W1 shorted</t>
  </si>
  <si>
    <t>200 kHz 4 Vpp Sine, AD2 = 10 Ω, W1 shorted</t>
  </si>
  <si>
    <t>350 kHz 4 Vpp Sine, AD2 = 10 Ω, W1 shorted</t>
  </si>
  <si>
    <t>1000 kHz 4 Vpp Sine, AD2 = 10 Ω, W1 shorted</t>
  </si>
  <si>
    <t>Saturation Current W1</t>
  </si>
  <si>
    <t>DC, 21°C RT</t>
  </si>
  <si>
    <t>A</t>
  </si>
  <si>
    <t>Winding Capacitance W1 || W2</t>
  </si>
  <si>
    <t>4 Vpp, 1000 kHz, AD2 = 10 kΩ</t>
  </si>
  <si>
    <t>pF</t>
  </si>
  <si>
    <t>Winding Capacitance W1 || W3</t>
  </si>
  <si>
    <t>Winding Capacitance W1 || W2+W3</t>
  </si>
  <si>
    <t>Winding Capacitance W2 || W3</t>
  </si>
  <si>
    <t>Resonant Frequ. W1</t>
  </si>
  <si>
    <t>4 Vpp, AD2 = 100 Ω</t>
  </si>
  <si>
    <t>MHz</t>
  </si>
  <si>
    <t>Typ. Frequency Range</t>
  </si>
  <si>
    <t>0 W Load, U_in = 200 ... 600 V</t>
  </si>
  <si>
    <t>95 ... 200</t>
  </si>
  <si>
    <t>250 W Load, U_in = 200 ... 600 V</t>
  </si>
  <si>
    <t>90 ... 170</t>
  </si>
  <si>
    <t>750 W Load, U_in = 400 ... 600 V</t>
  </si>
  <si>
    <t>115 ... 160</t>
  </si>
  <si>
    <t>Typ. Input Voltage W1</t>
  </si>
  <si>
    <t>Resonant Half Bridge</t>
  </si>
  <si>
    <t>Typ. Output Voltage W2, W3</t>
  </si>
  <si>
    <t>Typ. LLC Gain</t>
  </si>
  <si>
    <t>1,1 ... 3,4</t>
  </si>
  <si>
    <t>Isolation</t>
  </si>
  <si>
    <t>1 minute DC, no Isolation breakdown</t>
  </si>
  <si>
    <t>V RMS</t>
  </si>
  <si>
    <t>Isolation Resistance (DC)</t>
  </si>
  <si>
    <t>≥ 200</t>
  </si>
  <si>
    <t>GΩ</t>
  </si>
  <si>
    <t>1 minute AC, 50 Hz, no Isolation breakdown</t>
  </si>
  <si>
    <t>Typ. Current W1</t>
  </si>
  <si>
    <t>0 W conversion Power, U_in = 200 ... 600 V</t>
  </si>
  <si>
    <t>1,6 ... 2,8</t>
  </si>
  <si>
    <t>A RMS</t>
  </si>
  <si>
    <t>250 W conversion Power, U_in = 200 ... 600 V</t>
  </si>
  <si>
    <t>2,4 ... 3,6</t>
  </si>
  <si>
    <t>750 W conversion Power, U_in = 400 ... 600 V</t>
  </si>
  <si>
    <t>4,2 ... 4,8</t>
  </si>
  <si>
    <t>Typ. Current W2 + W3</t>
  </si>
  <si>
    <t>750 W, W2 + W3 combined current, equal load share</t>
  </si>
  <si>
    <t>Coil Former Temp. Rating</t>
  </si>
  <si>
    <t xml:space="preserve">Material: Liqcreate Flame Retardant HDT </t>
  </si>
  <si>
    <t>-</t>
  </si>
  <si>
    <t>Coil Former FR Level</t>
  </si>
  <si>
    <t>UL94 V-0</t>
  </si>
  <si>
    <t>Winding Temp. Rating</t>
  </si>
  <si>
    <t>Primary and Secondary Windings</t>
  </si>
  <si>
    <t xml:space="preserve">Core </t>
  </si>
  <si>
    <t>Material</t>
  </si>
  <si>
    <t>N27 + N97</t>
  </si>
  <si>
    <t>typ. Core Temperature</t>
  </si>
  <si>
    <t>TDK SIFERRIT N97, ETD39</t>
  </si>
  <si>
    <t>80 ... 120</t>
  </si>
  <si>
    <t>Core Saturation Flux density</t>
  </si>
  <si>
    <t>100°C, TDK SIFERRIT N97, ETD39</t>
  </si>
  <si>
    <t>mT</t>
  </si>
  <si>
    <t>Core Relative Losses</t>
  </si>
  <si>
    <t>100 kHz, 200 mT, TDK SIFERRIT N97, ETD39</t>
  </si>
  <si>
    <t>0.30</t>
  </si>
  <si>
    <t>W/cm³</t>
  </si>
  <si>
    <t>Core Air Gap</t>
  </si>
  <si>
    <t>total Air Gap length between both cores</t>
  </si>
  <si>
    <t>µm</t>
  </si>
  <si>
    <t>Transformer Power Dissipation W1</t>
  </si>
  <si>
    <t>Passive Convection, DC, 445,4 mV, 10504 mA
Hotspot ≤ 100°C unlimited time, RT 21°C</t>
  </si>
  <si>
    <t>Active Convection, DC, 603,9 mV, 13998 mA
Fan: 0.5 W @ 3,75V 30 x 30 x 7 mm, 5 m³/h, 
Manufacturer: UltraFan, Type: XD3007D5H, 5V, 200 mA, Top Cooled
Hotspot ≤ 100°C unlimited time, 21°C RT,</t>
  </si>
  <si>
    <t>Transformer Power Dissipation W2</t>
  </si>
  <si>
    <t>Passive Convection, DC, 30,46 mV, 19990 mA
Hotspot = 57°C, unlimited time, 21°C RT</t>
  </si>
  <si>
    <t>Active Convection, DC, 28,96 mV, 19986 mA
Fan: 0.5 W @ 3,75V 30 x 30 x 7 mm, 5 m³/h, 
Manufacturer: UltraFan, Type: XD3007D5H, 5V, 200 mA, Top Cooled
Hotspot = 46°C unlimited time, 21°C RT</t>
  </si>
  <si>
    <t>Transformer Power Dissipation W3</t>
  </si>
  <si>
    <t>Passive Convection, DC, 27,175 mV, 19986 mA
Hotspot = 66 °C, unlimited time, 21°C RT</t>
  </si>
  <si>
    <t>Active Convection, DC, 26,07 mV, 19986 mA
Fan: 0.5 W @ 3,75V 30 x 30 x 7 mm, 5 m³/h, 
Manufacturer: UltraFan, Type: XD3007D5H, 5V, 200 mA, Top Cooled
Hotspot = 53°C unlimited time, 21°C RT</t>
  </si>
  <si>
    <t>DCDCv9-3</t>
  </si>
  <si>
    <t>PCB only</t>
  </si>
  <si>
    <t>g</t>
  </si>
  <si>
    <t>PCBA only</t>
  </si>
  <si>
    <t>Weight with Fan</t>
  </si>
  <si>
    <t xml:space="preserve">Buck-Converter </t>
  </si>
  <si>
    <t>(without 5V LED, F2 = 500mA (high loss at low voltage), C_out 10uF)</t>
  </si>
  <si>
    <t>Temps after min. 1 minute, 25.5°C themal imaging RT reference</t>
  </si>
  <si>
    <t>U_in [V]</t>
  </si>
  <si>
    <t>I_in [mA]</t>
  </si>
  <si>
    <t>U_out [V]</t>
  </si>
  <si>
    <t>I_Out [mA]</t>
  </si>
  <si>
    <t>P_in [W]</t>
  </si>
  <si>
    <t>P_out [W]</t>
  </si>
  <si>
    <t>Efficiency</t>
  </si>
  <si>
    <t>IC_temp [°C]</t>
  </si>
  <si>
    <t>Inductor_temp [°C]</t>
  </si>
  <si>
    <t>Ripple [V_rms]</t>
  </si>
  <si>
    <t>f_sw [kHz]</t>
  </si>
  <si>
    <t>comment</t>
  </si>
  <si>
    <t>272 and 144 present</t>
  </si>
  <si>
    <t>max. cuttent with C12= 22 uF</t>
  </si>
  <si>
    <t>324,7 and 144 present</t>
  </si>
  <si>
    <t>OCP</t>
  </si>
  <si>
    <t>Boost-Converter:</t>
  </si>
  <si>
    <t>Temps after min. 1 minute, 25.0°C themal imaging RT reference</t>
  </si>
  <si>
    <t>I_Out [mA] with difference</t>
  </si>
  <si>
    <t>Difference measurement</t>
  </si>
  <si>
    <t>No HV, with PEME1-S12-S12-S</t>
  </si>
  <si>
    <t>Unclear why efficieny is so off -&gt; Excluded. Reference seems ok.</t>
  </si>
  <si>
    <t xml:space="preserve">-&gt; maximum current. Input has a large voltage drop/ripple. -&gt; Use C8/C18 = 22 µF </t>
  </si>
  <si>
    <t>C18 = 22 µF instead of 10 µF -&gt; was useless</t>
  </si>
  <si>
    <t>C8 = 22 uF slightly better.</t>
  </si>
  <si>
    <t>C8 = 2200 µF</t>
  </si>
  <si>
    <t>OTP trigger</t>
  </si>
  <si>
    <t>12V with 74 mV_rms -&gt; 9V LDO out has 2,1 mVrms ripple</t>
  </si>
  <si>
    <t>OPT/OCP</t>
  </si>
  <si>
    <t>C8/C18 = 22 uF</t>
  </si>
  <si>
    <t>C8 = 2x 22 uF, stable up to this point at the output</t>
  </si>
  <si>
    <t>C8 = 2x 22 uF, 3,3 kHz Ripple max current</t>
  </si>
  <si>
    <t>C8 = 1x 22 uF and C_start, max current and LV step down as source, absolute max.: 330 mA out</t>
  </si>
  <si>
    <t>Analysis</t>
  </si>
  <si>
    <t>24V -&gt; 3.7V Step Down</t>
  </si>
  <si>
    <t>3.7V -&gt;12 V Step Up</t>
  </si>
  <si>
    <t>Input current with fully charged capacitor, 24V_in, Disabled</t>
  </si>
  <si>
    <t>Input current with fully charged capacitor, 24V_in, Enabled</t>
  </si>
  <si>
    <t>Input current with fully charged capacitor, 24V_in, Enabled, with 5V Fan, 21°C RT</t>
  </si>
  <si>
    <t>Discharge Current (DC/DC Enabled) no HV, Cap @ 3,75 V</t>
  </si>
  <si>
    <t>Hold-Up time, DC/DC Enabled, no HV,</t>
  </si>
  <si>
    <t xml:space="preserve">The following Checks are essential for each DCDC Converter build. </t>
  </si>
  <si>
    <t>Constant above 7 V_in</t>
  </si>
  <si>
    <t>Input current with fully charged capacitor, 12V_in, Enabled</t>
  </si>
  <si>
    <t>U_in = 0 V / DC/DC Enabled, IDLE, 12.2 V</t>
  </si>
  <si>
    <t>U_in = 0 V / DC/DC Enabled, IDLE, 12.2 V, 20,1°C RT</t>
  </si>
  <si>
    <t>Explainations</t>
  </si>
  <si>
    <t xml:space="preserve">Line 11 lists the current configuration of the converter. "Transfomer" referrs to the serial number for the used coils. R_gate referrs to the gate current limiting resistor [Ohms]. C_load referrs to the total output capacitance. </t>
  </si>
  <si>
    <t>F_min is set by RV2, LV set is the output Voltage Set by the Feedback Resistors R17/R12+R10, Deadtime is set by RV1 (0° min., 135° = center position, 270° max. in CCW direction), Values on the right-hand side of “Temp after min” are the component temperatures [°C] measured after these minutes.</t>
  </si>
  <si>
    <t xml:space="preserve">Columms with green header are for manual type-in. </t>
  </si>
  <si>
    <t>Columms with blue header are calculated.</t>
  </si>
  <si>
    <t>Columms with orange header are for manual type-in for optional values</t>
  </si>
  <si>
    <r>
      <rPr>
        <b/>
        <sz val="10"/>
        <color theme="1"/>
        <rFont val="Arial"/>
      </rPr>
      <t>Bold</t>
    </r>
    <r>
      <rPr>
        <sz val="10"/>
        <color theme="1"/>
        <rFont val="Arial"/>
      </rPr>
      <t xml:space="preserve"> measurement values indicate a manual change or a confirmation that the value is still correct</t>
    </r>
  </si>
  <si>
    <t xml:space="preserve">Horizontal Lines are used to show a new set of measurements (mostly different input Voltages) on the same test day with the same configuration. </t>
  </si>
  <si>
    <t>Title:</t>
  </si>
  <si>
    <t>Test No.</t>
  </si>
  <si>
    <t>Transformer</t>
  </si>
  <si>
    <t>Core Material</t>
  </si>
  <si>
    <t>C_res [nF]</t>
  </si>
  <si>
    <t>HB MOS R_Gate</t>
  </si>
  <si>
    <t>Air Gap µm</t>
  </si>
  <si>
    <t>SR R_gate</t>
  </si>
  <si>
    <t>SR_fet</t>
  </si>
  <si>
    <t>Roomtemp</t>
  </si>
  <si>
    <t>Fan</t>
  </si>
  <si>
    <t>R41</t>
  </si>
  <si>
    <t>R39</t>
  </si>
  <si>
    <t>C30</t>
  </si>
  <si>
    <t>C32</t>
  </si>
  <si>
    <t>R37</t>
  </si>
  <si>
    <t>C26</t>
  </si>
  <si>
    <t>C29</t>
  </si>
  <si>
    <t>R38/29 min_Ton</t>
  </si>
  <si>
    <t>R43/33 min_Toff</t>
  </si>
  <si>
    <t>Initial Test v9-3</t>
  </si>
  <si>
    <t>67+68+69</t>
  </si>
  <si>
    <t>N97+N27_1AG</t>
  </si>
  <si>
    <t>4 x 5.6 nF C0G</t>
  </si>
  <si>
    <t>4R7</t>
  </si>
  <si>
    <t>BSC027N06LS5ATMA1</t>
  </si>
  <si>
    <t>21,1°C</t>
  </si>
  <si>
    <t>no</t>
  </si>
  <si>
    <t>1k</t>
  </si>
  <si>
    <t>10 nF</t>
  </si>
  <si>
    <t>47k</t>
  </si>
  <si>
    <t>22 nF</t>
  </si>
  <si>
    <t>47 pF</t>
  </si>
  <si>
    <t>2.2k</t>
  </si>
  <si>
    <t>10k</t>
  </si>
  <si>
    <t>comments</t>
  </si>
  <si>
    <t>F min kHz</t>
  </si>
  <si>
    <t>LV set V</t>
  </si>
  <si>
    <t>Deadtime °</t>
  </si>
  <si>
    <t>HV_IN V</t>
  </si>
  <si>
    <t>HV_IN mA</t>
  </si>
  <si>
    <t>LV_OUT V</t>
  </si>
  <si>
    <t>SHUNT mV</t>
  </si>
  <si>
    <t>F_sw kHz</t>
  </si>
  <si>
    <t>I_prim mA RMS</t>
  </si>
  <si>
    <t>U_RMS Cr_B meas</t>
  </si>
  <si>
    <t>U_RMS Cr calc</t>
  </si>
  <si>
    <t>LV OUT mA</t>
  </si>
  <si>
    <t>HV IN P W</t>
  </si>
  <si>
    <t>LV OUT P W</t>
  </si>
  <si>
    <t>Power loss W</t>
  </si>
  <si>
    <t>Gain 28:2</t>
  </si>
  <si>
    <t>Temp after min</t>
  </si>
  <si>
    <t>HS FET</t>
  </si>
  <si>
    <t>LS FET</t>
  </si>
  <si>
    <t>C_res (C0G)</t>
  </si>
  <si>
    <t xml:space="preserve">outer Rect FET </t>
  </si>
  <si>
    <t xml:space="preserve">inner Rect FET </t>
  </si>
  <si>
    <t>Trafo prim</t>
  </si>
  <si>
    <t>Trafo Sec</t>
  </si>
  <si>
    <t>Trafo Core</t>
  </si>
  <si>
    <t>snub max. Temp</t>
  </si>
  <si>
    <t>Neutral suface</t>
  </si>
  <si>
    <t>PFC FET + Diode</t>
  </si>
  <si>
    <t xml:space="preserve">Inductor max. </t>
  </si>
  <si>
    <t>f_res, OCP, R60 100k / C44 22 nF response Value: 132,4 Vrms / 652,4 Vpp</t>
  </si>
  <si>
    <t>135°</t>
  </si>
  <si>
    <t>f_res, R60 82k -&gt; no OCP triggered</t>
  </si>
  <si>
    <t>Oszi Ripple Measurement: 1,140 Vrms, 3,14 Vpp (ringing ignored), ringing on current: 10 MHz, dead time has no influence</t>
  </si>
  <si>
    <t>HV IN P</t>
  </si>
  <si>
    <t>slight whine (rk)</t>
  </si>
  <si>
    <t>more whine (rk)</t>
  </si>
  <si>
    <t>silence, ripple: 0,94 Vrms</t>
  </si>
  <si>
    <t>OVL, ripple: 0,673 Vrms</t>
  </si>
  <si>
    <t xml:space="preserve">Line 8 lists the current configuration of the converter. "Transfomer" referrs to the serial number for the used coils. R_gate referrs to the gate current limiting resistor [Ohms]. C_load referrs to the total output capacitance. </t>
  </si>
  <si>
    <t>Please adjust the Table according to your own needs! However, if you seek for help it would be easier to keep it in the same format.</t>
  </si>
  <si>
    <t>LV OUT A</t>
  </si>
  <si>
    <t>Identifier for Oscilloscope Screenshots: T</t>
  </si>
  <si>
    <t>C_Load</t>
  </si>
  <si>
    <t>4400 uF + 1410 µF (DPS5020)</t>
  </si>
  <si>
    <t xml:space="preserve">PFC Inductor max. </t>
  </si>
  <si>
    <t>inductor lv out</t>
  </si>
  <si>
    <t>50V</t>
  </si>
  <si>
    <t>100V</t>
  </si>
  <si>
    <t>150V</t>
  </si>
  <si>
    <t>HV Test v9-3</t>
  </si>
  <si>
    <t>no whine</t>
  </si>
  <si>
    <t>f_min limit + OCP limit</t>
  </si>
  <si>
    <t>HV IN P [W]</t>
  </si>
  <si>
    <t>200V</t>
  </si>
  <si>
    <t>300V</t>
  </si>
  <si>
    <t>400V</t>
  </si>
  <si>
    <t>500V</t>
  </si>
  <si>
    <t>600V</t>
  </si>
  <si>
    <t>more whine (rk), 2,95 kHz</t>
  </si>
  <si>
    <t>dt optimum found</t>
  </si>
  <si>
    <t>85°</t>
  </si>
  <si>
    <t>Changed R41/R39 (1K) to 2,2k without effect.   -&gt; all tests at 100V_in</t>
  </si>
  <si>
    <t>Changed R41/R39 (1K) to 10 k -&gt; much better but between 10W and 30W 1,2 kHz ringing</t>
  </si>
  <si>
    <t>without C29 (47 pF) still at 1,0 kHz but much quiter, 15-50W. R37(47k) and C26 (22nF) form a 1034 µs Lowpass... thats 1 kHz... HMMMM....</t>
  </si>
  <si>
    <t>R37 from 47k to 33k -&gt; 847 Hz 18-48W</t>
  </si>
  <si>
    <t>R37 from 47k to 18k -&gt; 584 Hz, 16-46W</t>
  </si>
  <si>
    <t xml:space="preserve"> R41/R39 (1K) to 15 k R37 from 47k to 68k -&gt; 1,23 kHz, 18-48W</t>
  </si>
  <si>
    <t xml:space="preserve"> R41/R39 15 k R37 68k, C26 47 nF-&gt; 1,23 kHz, 18-48W</t>
  </si>
  <si>
    <t xml:space="preserve"> R41/R39 15 k R37 68k, C26 82 nF-&gt; 926 Hz, 18-48W</t>
  </si>
  <si>
    <t xml:space="preserve"> R41/R39 15 k R37 68k, C26 82 nF, C30 47 nF -&gt; 870 Hz, 18-48W but weaker</t>
  </si>
  <si>
    <t xml:space="preserve"> R41/R39 15 k R37 68k, C26 82 nF, ohne C30  -&gt; 870 Hz, 18-48W -&gt; no change</t>
  </si>
  <si>
    <t xml:space="preserve"> R41/R39 15 k R37 68k, C26 82 nF, ohne C30, no C32  -&gt; only veeeery weak oscillations, more like noise</t>
  </si>
  <si>
    <t xml:space="preserve"> R41/R39 2,2 k R37 68k, C26 82 nF, ohne C30, no C32  just noise</t>
  </si>
  <si>
    <t>Intermediate conclusion: 100nF C32 were probably the main problem.</t>
  </si>
  <si>
    <t>Continue with C32 10 nf, without C30, R41/R39 2.2k, R37 68k, C26 82 nF, without C29 still some noise, but everything else unproblematic</t>
  </si>
  <si>
    <t>C32 10nf, C30 10 nF, R41/R39 2.2k, R37 68k, C26 82 nF, without C29 still some noise (maybe a little less), but otherwise everything is unproblematic</t>
  </si>
  <si>
    <t>C32 10nf, C30 10 nF, R41/R39 1k, R37 68k, C26 82 nF, without C29 still some noise, but everything else unproblematic</t>
  </si>
  <si>
    <t>C32 10nf, C30 10 nF, R41/R39 1k, R37 68k, C26 47 nF, without C29 still some noise, but everything else unproblematic</t>
  </si>
  <si>
    <t>C32 10nf, C30 10 nF, R41/R39 1k, R37 47k, C26 47 nF, without C29 still some noise, but everything else unproblematic</t>
  </si>
  <si>
    <t xml:space="preserve">C32 10nf, C30 10 nF, R41/R39 1k, R37 47k, C26 22 nF, without C29 still some noise, but everything else unproblematic. Sometimes very little oscillation at 28W? But it was already that low with the others. </t>
  </si>
  <si>
    <t>C32 10nf, C30 10 nF, R41/R39 1k, R37 47k, C26 22 nF, C29 47 pF. still some noise, but otherwise no problems. Sometimes very little oscillation at 28W.</t>
  </si>
  <si>
    <t>-&gt; everything back to v9-3 version except C32 to 10 nF</t>
  </si>
  <si>
    <t>After all changes</t>
  </si>
  <si>
    <t>From here with adjusted VC175 for U_out</t>
  </si>
  <si>
    <t>HV Test v9-3 fixed control loop</t>
  </si>
  <si>
    <t>start increase sr on time</t>
  </si>
  <si>
    <t xml:space="preserve"> increase sr on time up to 2 us</t>
  </si>
  <si>
    <t>on-time maybe 90% active</t>
  </si>
  <si>
    <t>on-time mostly on (exept some 100 Hz lows)</t>
  </si>
  <si>
    <t xml:space="preserve">sr sometimes on minimum on-time at 100 Hz lows :C </t>
  </si>
  <si>
    <t>only min on ?!</t>
  </si>
  <si>
    <t>on-time 100% active</t>
  </si>
  <si>
    <t>OVL</t>
  </si>
  <si>
    <t>slight whine ... oh no</t>
  </si>
  <si>
    <t>on-time mostly on (exept some 100 Hz lows), no whine anymore</t>
  </si>
  <si>
    <t>innr sr starting to increase min_on</t>
  </si>
  <si>
    <t>both sr fully on</t>
  </si>
  <si>
    <t>load limit, OVL with more</t>
  </si>
  <si>
    <t>U_out cold: 24,11V</t>
  </si>
  <si>
    <t>whine gone, SR fully on</t>
  </si>
  <si>
    <t>slight whine-noise</t>
  </si>
  <si>
    <t>quiet</t>
  </si>
  <si>
    <t>both sr almost fully on</t>
  </si>
  <si>
    <t>-&gt; OVL at &gt;300W</t>
  </si>
  <si>
    <t>control loop + SR inspection</t>
  </si>
  <si>
    <t xml:space="preserve">- adjusted SR trigger lowpass R13/R19 = 47 Ohm C6/C9 = 2.2 nF
- removed R14/R20 to not interfear with measurements </t>
  </si>
  <si>
    <t>SR inspection after fix</t>
  </si>
  <si>
    <t>Innr SR rect ON time [ns] 866</t>
  </si>
  <si>
    <t>STILL NO WHINING!!! YAY 2284</t>
  </si>
  <si>
    <t>F_ring = 10,43 MHz / 96 ns 2564</t>
  </si>
  <si>
    <t>OCP -&gt; OK below 135W</t>
  </si>
  <si>
    <t>SR reacts very well even without load! at 47 Ohm!????!?!?!! Amazing!</t>
  </si>
  <si>
    <t>from here on side cooled, beQuite 12V, 3cm distance 80mm fan, 20A fuse at 78°C, 2775 ns</t>
  </si>
  <si>
    <t>boost curve (probably earlier ) 2728</t>
  </si>
  <si>
    <t xml:space="preserve">Canceled because PFC in some areas at 119°C </t>
  </si>
  <si>
    <t>304 continued</t>
  </si>
  <si>
    <t>- fan cooled -</t>
  </si>
  <si>
    <t>from here on side cooled, beQuite 12V, 3cm distance 80mm fan</t>
  </si>
  <si>
    <t>load maxed out</t>
  </si>
  <si>
    <t>6 min test OK</t>
  </si>
  <si>
    <t>305 continued</t>
  </si>
  <si>
    <t>U_RMS Trafo calc</t>
  </si>
  <si>
    <t>OTP triggered after 6 min :D Current is a beautiful sine</t>
  </si>
  <si>
    <t>-&gt; could be switched on again after approx. 1 min.</t>
  </si>
  <si>
    <t>with a second otp trigger, pc and 12V TS were running, but could only be switched on after 2 min -&gt; pc leakage too high? (Edit: No, its the OTP issue (fixed))</t>
  </si>
  <si>
    <t xml:space="preserve">cooling pause, without fan, SR sometimes min on 425 ns </t>
  </si>
  <si>
    <t>cooling from here because of snubber</t>
  </si>
  <si>
    <t>PFC voltage a bit noisy?</t>
  </si>
  <si>
    <t xml:space="preserve">after 1 min OTP </t>
  </si>
  <si>
    <t>OTP</t>
  </si>
  <si>
    <t xml:space="preserve">Fields with green background are for manual type-in. </t>
  </si>
  <si>
    <t>Fields with blue backgorund are calculated or from Datasheets</t>
  </si>
  <si>
    <r>
      <rPr>
        <b/>
        <sz val="10"/>
        <rFont val="Arial"/>
      </rPr>
      <t>Air-Gap and Saturation Current Calculation (From</t>
    </r>
    <r>
      <rPr>
        <b/>
        <u/>
        <sz val="10"/>
        <color rgb="FF1155CC"/>
        <rFont val="Arial"/>
      </rPr>
      <t xml:space="preserve"> TDK Ferrites and accessories - General – Definitions</t>
    </r>
    <r>
      <rPr>
        <b/>
        <sz val="10"/>
        <rFont val="Arial"/>
      </rPr>
      <t xml:space="preserve">) </t>
    </r>
  </si>
  <si>
    <t>Core Type</t>
  </si>
  <si>
    <t>K1</t>
  </si>
  <si>
    <t>K2</t>
  </si>
  <si>
    <t>K3</t>
  </si>
  <si>
    <t>K4</t>
  </si>
  <si>
    <t>Air Gap [mm]</t>
  </si>
  <si>
    <t>AL [nH/Wdg]</t>
  </si>
  <si>
    <t>Windings</t>
  </si>
  <si>
    <t>L_total [µH]</t>
  </si>
  <si>
    <t>L_needed</t>
  </si>
  <si>
    <t>Wdg</t>
  </si>
  <si>
    <t>I_sat [A]</t>
  </si>
  <si>
    <t>I_sat (Wdg)[A]</t>
  </si>
  <si>
    <t>ETD29 N87</t>
  </si>
  <si>
    <t>ETD 34 N87</t>
  </si>
  <si>
    <t>ETD 39 N87</t>
  </si>
  <si>
    <t>ETD 44 N87</t>
  </si>
  <si>
    <t>ETD 54 N87</t>
  </si>
  <si>
    <t>ETD 59 N87</t>
  </si>
  <si>
    <t>PQ-26/25</t>
  </si>
  <si>
    <t>Plate capacitor calculator</t>
  </si>
  <si>
    <t>Capacitive Power-Loss calculator</t>
  </si>
  <si>
    <t>Epsilon_r</t>
  </si>
  <si>
    <t>Capacity</t>
  </si>
  <si>
    <t>Surface</t>
  </si>
  <si>
    <t>mm^2</t>
  </si>
  <si>
    <t>Voltage</t>
  </si>
  <si>
    <t>Distance</t>
  </si>
  <si>
    <t>Frequency</t>
  </si>
  <si>
    <t>Power Loss</t>
  </si>
  <si>
    <t>UCC25600 dead time calc</t>
  </si>
  <si>
    <t>Coupling factor calculator</t>
  </si>
  <si>
    <t>Resistance</t>
  </si>
  <si>
    <t>kΩ</t>
  </si>
  <si>
    <t>Primary Inductance</t>
  </si>
  <si>
    <t>dead time</t>
  </si>
  <si>
    <t>Primary leakage Ind.</t>
  </si>
  <si>
    <t>Primary Windings</t>
  </si>
  <si>
    <t>Inductance calculator with air gap</t>
  </si>
  <si>
    <t>Secondary Windings</t>
  </si>
  <si>
    <t>Mag. total length.</t>
  </si>
  <si>
    <t>Winding Ratio</t>
  </si>
  <si>
    <t>Air gap length</t>
  </si>
  <si>
    <t>Coupling factor (K)</t>
  </si>
  <si>
    <t>µ_r core</t>
  </si>
  <si>
    <t>Secondary Inductance</t>
  </si>
  <si>
    <t>Cross-sectional area</t>
  </si>
  <si>
    <t>Lp to Lr ratio  (M)</t>
  </si>
  <si>
    <t>Number of turns</t>
  </si>
  <si>
    <t>Inductance</t>
  </si>
  <si>
    <t>total R_m</t>
  </si>
  <si>
    <t>H^-1</t>
  </si>
  <si>
    <t>Halfbridge FET Selection</t>
  </si>
  <si>
    <t>U_ds</t>
  </si>
  <si>
    <t>I_ds</t>
  </si>
  <si>
    <t>A_rms</t>
  </si>
  <si>
    <t>F_sw</t>
  </si>
  <si>
    <t>Gate Current</t>
  </si>
  <si>
    <t>Switching Loss factor</t>
  </si>
  <si>
    <t>(1 = Turn on+off, 0,5 = just turn on or off)</t>
  </si>
  <si>
    <t>Name</t>
  </si>
  <si>
    <t>URL</t>
  </si>
  <si>
    <t>Costs (mid 2024)</t>
  </si>
  <si>
    <t>R_ds_on [mΩ]</t>
  </si>
  <si>
    <t>Q_gate [nC]</t>
  </si>
  <si>
    <t>Q_rr [nC]</t>
  </si>
  <si>
    <t>FOM (R*Q)</t>
  </si>
  <si>
    <t>conduction loss [W]</t>
  </si>
  <si>
    <t>Switching loss [W]</t>
  </si>
  <si>
    <t>Q_rr_loss [W]</t>
  </si>
  <si>
    <t>total_loss [W]</t>
  </si>
  <si>
    <t>loss w/o q_rr [W]</t>
  </si>
  <si>
    <t xml:space="preserve">loss [W] w/o switching loss </t>
  </si>
  <si>
    <t>GS66516B-TR</t>
  </si>
  <si>
    <t>https://www.mouser.de/ProductDetail/GaN-Systems/GS66516B-TR?qs=bAKSY%2FctAC6Ogse9hLGZwg%3D%3D</t>
  </si>
  <si>
    <t>IGO60R070D1AUMA2</t>
  </si>
  <si>
    <t>https://www.mouser.de/ProductDetail/Infineon-Technologies/IGO60R070D1AUMA2?qs=QNEnbhJQKvZ1Bao%252BoPkFBA%3D%3D</t>
  </si>
  <si>
    <t>GS66504B-MR</t>
  </si>
  <si>
    <t>https://www.mouser.de/ProductDetail/GaN-Systems/GS66504B-MR?qs=OlC7AqGiEDmkLttA%2F6AlIA%3D%3D</t>
  </si>
  <si>
    <t>IMBG65R050M2HXTMA1</t>
  </si>
  <si>
    <t>https://www.mouser.de/ProductDetail/Infineon-Technologies/IMBG65R050M2HXTMA1?qs=mELouGlnn3dkZTVPBkW2JQ%3D%3D</t>
  </si>
  <si>
    <t>IMBG65R040M2HXTMA1</t>
  </si>
  <si>
    <t>https://www.mouser.de/ProductDetail/Infineon-Technologies/IMBG65R040M2HXTMA1?qs=mELouGlnn3eNB0TJmS3Z9g%3D%3D</t>
  </si>
  <si>
    <t>IMDQ75R140M1HXUMA1</t>
  </si>
  <si>
    <t>https://www.mouser.de/ProductDetail/Infineon-Technologies/IMDQ75R140M1HXUMA1?qs=mELouGlnn3e%2FG7W7hRl0IQ%3D%3D</t>
  </si>
  <si>
    <t>UF3C065080B7S</t>
  </si>
  <si>
    <t>https://www.mouser.de/ProductDetail/Qorvo/UF3C065080B7S?qs=eP2BKZSCXI52MQCIgfDd5g%3D%3D</t>
  </si>
  <si>
    <t>UJ4C075060B7S</t>
  </si>
  <si>
    <t>https://www.mouser.de/ProductDetail/Qorvo/UJ4C075060B7S?qs=tlsG%2FOw5FFgNjGU0KLro2w%3D%3D</t>
  </si>
  <si>
    <t>IMBG65R048M1HXTMA1</t>
  </si>
  <si>
    <t>https://www.mouser.de/ProductDetail/Infineon-Technologies/IMBG65R048M1HXTMA1?qs=XAiT9M5g4x%252BtPH6zIJhCOg%3D%3D</t>
  </si>
  <si>
    <t xml:space="preserve">AIMBG120R080M1XTMA1 </t>
  </si>
  <si>
    <t>https://www.mouser.de/ProductDetail/Infineon-Technologies/AIMBG120R080M1XTMA1?qs=Znm5pLBrcAIs2S74r7i%2Frw%3D%3D</t>
  </si>
  <si>
    <t xml:space="preserve">UJ4C075023K4S </t>
  </si>
  <si>
    <t>https://www.mouser.de/ProductDetail/Qorvo/UJ4C075023K4S?qs=e8oIoAS2J1RR9GNiaWcnEw%3D%3D</t>
  </si>
  <si>
    <t>IMBG120R220M1HXTMA1</t>
  </si>
  <si>
    <t>https://www.mouser.de/ProductDetail/Infineon-Technologies/IMBG120R220M1HXTMA1?qs=GedFDFLaBXHN%252BqgPRlMYSQ%3D%3D</t>
  </si>
  <si>
    <t>IMBG65R020M2HXTMA1</t>
  </si>
  <si>
    <t>https://www.mouser.de/ProductDetail/Infineon-Technologies/IMBG65R020M2HXTMA1?qs=mELouGlnn3dAXWQ4f510vQ%3D%3D</t>
  </si>
  <si>
    <t>IMBG120R350M1HXTMA1</t>
  </si>
  <si>
    <t>https://www.mouser.de/ProductDetail/Infineon-Technologies/IMBG120R350M1HXTMA1?qs=GedFDFLaBXG1UI%2FlxHchow%3D%3D</t>
  </si>
  <si>
    <t>SCT055HU65G3AG</t>
  </si>
  <si>
    <t>https://www.mouser.de/ProductDetail/STMicroelectronics/SCT055HU65G3AG?qs=amGC7iS6iy%252BmvA31UWzWZg%3D%3D</t>
  </si>
  <si>
    <t>IMBG120R090M1HXTMA1</t>
  </si>
  <si>
    <t>https://www.mouser.de/ProductDetail/Infineon-Technologies/IMBG120R090M1HXTMA1?qs=GedFDFLaBXHAcXtjix4XAQ%3D%3D</t>
  </si>
  <si>
    <t>IMBG120R060M1HXTMA1</t>
  </si>
  <si>
    <t>https://www.mouser.de/ProductDetail/Infineon-Technologies/IMBG120R060M1HXTMA1?qs=GedFDFLaBXEwFQzCFlHaKQ%3D%3D</t>
  </si>
  <si>
    <t>NTH4L022N120M3S</t>
  </si>
  <si>
    <t>https://www.mouser.de/ProductDetail/onsemi/NTH4L022N120M3S?qs=7D1LtPJG0i3AbEjjEp3mXA%3D%3D</t>
  </si>
  <si>
    <t>UF4SC120023B7S</t>
  </si>
  <si>
    <t>https://www.mouser.de/ProductDetail/Qorvo/UF4SC120023B7S?qs=Z%252BL2brAPG1K82qj40e85mg%3D%3D</t>
  </si>
  <si>
    <t xml:space="preserve">IMBG120R030M1HXTMA1 </t>
  </si>
  <si>
    <t>https://www.mouser.de/ProductDetail/Infineon-Technologies/IMBG120R030M1HXTMA1?qs=GedFDFLaBXEaX7SES5WVqA%3D%3D</t>
  </si>
  <si>
    <t>NVBG095N65S3F</t>
  </si>
  <si>
    <t>https://www.mouser.de/ProductDetail/onsemi/NVBG095N65S3F?qs=vvQtp7zwQdN4LeBBypDzZg%3D%3D</t>
  </si>
  <si>
    <t>IMBG65R007M2HXTMA1</t>
  </si>
  <si>
    <t>https://www.mouser.de/ProductDetail/Infineon-Technologies/IMBG65R007M2HXTMA1?qs=mELouGlnn3e0xPEIXJ0qYg%3D%3D</t>
  </si>
  <si>
    <t>NTH4L014N120M3P</t>
  </si>
  <si>
    <t>https://www.mouser.de/datasheet/2/308/1/NTH4L014N120M3P_D-3150583.pdf</t>
  </si>
  <si>
    <t>IMBG120R008M2HXTMA1</t>
  </si>
  <si>
    <t>https://www.mouser.de/ProductDetail/Infineon-Technologies/IMBG120R008M2HXTMA1?qs=HoCaDK9Nz5cOtB3WtpR7tA%3D%3D</t>
  </si>
  <si>
    <t>IPD70R360P7SAUMA1</t>
  </si>
  <si>
    <t>https://www.mouser.de/ProductDetail/Infineon-Technologies/IPD70R360P7SAUMA1?qs=KuGazDKa6A7NZ4kbDDKXAg%3D%3D</t>
  </si>
  <si>
    <t>IMBF170R450M1XTMA1</t>
  </si>
  <si>
    <t>https://www.mouser.de/ProductDetail/Infineon-Technologies/IMBF170R450M1XTMA1?qs=GedFDFLaBXFtPqcGQB0Feg%3D%3D</t>
  </si>
  <si>
    <t>???</t>
  </si>
  <si>
    <t>LSIC1MO170T0750</t>
  </si>
  <si>
    <t>https://www.mouser.de/ProductDetail/IXYS/LSIC1MO170T0750?qs=W%2FMpXkg%252BdQ6KJgxMGwg%252Bvg%3D%3D</t>
  </si>
  <si>
    <t>IMBF170R1K0M1XTMA1</t>
  </si>
  <si>
    <t>https://www.mouser.de/ProductDetail/Infineon-Technologies/IMBF170R1K0M1XTMA1?qs=GedFDFLaBXEkQ0MG%2FVnbOQ%3D%3D</t>
  </si>
  <si>
    <t>SR FET Selection</t>
  </si>
  <si>
    <t>Package</t>
  </si>
  <si>
    <t>Type</t>
  </si>
  <si>
    <t>Current cont.</t>
  </si>
  <si>
    <t>Current peak</t>
  </si>
  <si>
    <t>GAN3R2-100CBEAZ</t>
  </si>
  <si>
    <t>https://www.mouser.de/ProductDetail/Nexperia/GAN3R2-100CBEAZ?qs=3Rah4i%252BhyCGCdd4XaWDeeg%3D%3D</t>
  </si>
  <si>
    <t>WLCSP-8</t>
  </si>
  <si>
    <t>GaN</t>
  </si>
  <si>
    <t>BSC007N04LS6</t>
  </si>
  <si>
    <t>https://www.mouser.de/ProductDetail/Infineon-Technologies/BSC007N04LS6ATMA1?qs=qSfuJ%252Bfl%2Fd6XRYG4U%2FLAPg%3D%3D&amp;srsltid=AfmBOoo55hMZT9T1dBa8d5xZV88ItmxyAyPQZChvnP2fd1legzmA2jnH</t>
  </si>
  <si>
    <t>TDSON-8</t>
  </si>
  <si>
    <t>Si</t>
  </si>
  <si>
    <t>NVMFWS1D5N08XT1G</t>
  </si>
  <si>
    <t>https://www.mouser.de/ProductDetail/onsemi/NVMFWS1D5N08XT1G?qs=jRuttqqUwMTJTVmBLgLsGw%3D%3D</t>
  </si>
  <si>
    <t>DFNW-5</t>
  </si>
  <si>
    <t>https://www.mouser.de/ProductDetail/Infineon-Technologies/BSC027N06LS5ATMA1?qs=HXFqYaX1Q2z6vEIhZX7Vzw%3D%3D</t>
  </si>
  <si>
    <t xml:space="preserve">ISC015N06NM5LF2ATMA1 </t>
  </si>
  <si>
    <t>https://www.mouser.de/ProductDetail/Infineon-Technologies/ISC015N06NM5LF2ATMA1?qs=mELouGlnn3f6aaFmTz2%2Fzg%3D%3D</t>
  </si>
  <si>
    <t>ISC025N08NM5LF2ATMA1</t>
  </si>
  <si>
    <t>https://www.mouser.de/ProductDetail/Infineon-Technologies/ISC025N08NM5LF2ATMA1?qs=mELouGlnn3dAp8bWfQzBtw%3D%3D</t>
  </si>
  <si>
    <t>ISC0702NLSATMA1</t>
  </si>
  <si>
    <t>https://www.mouser.de/ProductDetail/Infineon-Technologies/ISC0702NLSATMA1?qs=iLbezkQI%252BsiPlMb4SWtqrg%3D%3D</t>
  </si>
  <si>
    <t>TDSON-FL-8</t>
  </si>
  <si>
    <t>STL140N6F7</t>
  </si>
  <si>
    <t>https://www.mouser.de/ProductDetail/STMicroelectronics/STL140N6F7?qs=4b8myOmUP%252Bt7bSWaLPztSg%3D%3D</t>
  </si>
  <si>
    <t>PowerFLAT-5x6-8</t>
  </si>
  <si>
    <t>BSC0702LSATMA1</t>
  </si>
  <si>
    <t>https://www.mouser.de/ProductDetail/Infineon-Technologies/BSC0702LSATMA1?qs=u4fy%2FsgLU9NYVEIY04ctJg%3D%3D</t>
  </si>
  <si>
    <t>NTMFS3D0N08XT1G</t>
  </si>
  <si>
    <t>https://www.mouser.de/ProductDetail/onsemi/NTMFS3D0N08XT1G?qs=mELouGlnn3d3HYnimZjM7w%3D%3D</t>
  </si>
  <si>
    <t>SO-8</t>
  </si>
  <si>
    <t>NTMFS5C628NLT3G</t>
  </si>
  <si>
    <t>https://www.mouser.de/ProductDetail/onsemi/NTMFS5C628NLT3G?qs=tCMd4XlZ%2FiAfCKTal%2Fmd8w%3D%3D</t>
  </si>
  <si>
    <t>SO-8FL-4</t>
  </si>
  <si>
    <t>TPH4R008QM,LQ</t>
  </si>
  <si>
    <t>https://www.mouser.de/ProductDetail/Toshiba/TPH4R008QMLQ?qs=A6eO%252BMLsxmRWyCf40NC%2FOg%3D%3D</t>
  </si>
  <si>
    <t>SOP Advance(N)</t>
  </si>
  <si>
    <t>BSC028N06NS</t>
  </si>
  <si>
    <t>https://www.mouser.de/ProductDetail/Infineon-Technologies/BSC028N06NS?qs=EUA%2Fg8wssK3HptIwN0%252BK7A%3D%3D</t>
  </si>
  <si>
    <t>GANE3R9-150QBAZ</t>
  </si>
  <si>
    <t>https://www.mouser.de/ProductDetail/Nexperia/GANE3R9-150QBAZ?qs=2wMNvWM5ZX6apnXG90NyGg%3D%3D</t>
  </si>
  <si>
    <t>VQFN-7</t>
  </si>
  <si>
    <t>MCACL2D5N06YL-TP</t>
  </si>
  <si>
    <t>https://www.mouser.de/ProductDetail/Micro-Commercial-Components-MCC/MCACL2D5N06YL-TP?qs=ZcfC38r4PotrmKtVDJPavg%3D%3D</t>
  </si>
  <si>
    <t>DFN5060</t>
  </si>
  <si>
    <t>NVMFWS3D0N08XT1G</t>
  </si>
  <si>
    <t>https://www.mouser.de/ProductDetail/onsemi/NVMFWS3D0N08XT1G?qs=i8QVZAFTkqQDm1Y037f9wQ%3D%3D</t>
  </si>
  <si>
    <t>SO−8FL</t>
  </si>
  <si>
    <t>NVMFS5C645NLAFT1G</t>
  </si>
  <si>
    <t>https://www.mouser.de/ProductDetail/onsemi/NVMFS5C645NLAFT1G?qs=5aG0NVq1C4zM5kDvSqEdiQ%3D%3D</t>
  </si>
  <si>
    <t>IAUC120N06S5L032ATMA1</t>
  </si>
  <si>
    <t>https://www.mouser.de/ProductDetail/Infineon-Technologies/IAUC120N06S5L032ATMA1?qs=GedFDFLaBXHKrtNXypUgYw%3D%3D</t>
  </si>
  <si>
    <t>TDSON-8-34</t>
  </si>
  <si>
    <t>BSC034N06NSATMA1</t>
  </si>
  <si>
    <t>https://www.mouser.de/ProductDetail/Infineon-Technologies/BSC034N06NSATMA1?qs=WkdRfq4wf1Mx6O2FQ7xjpw%3D%3D</t>
  </si>
  <si>
    <t>SQJA16EP-T1_GE3</t>
  </si>
  <si>
    <t>https://www.mouser.de/ProductDetail/Vishay-Semiconductors/SQJA16EP-T1_GE3?qs=Wj%2FVkw3K%252BMCb7veALwZyxQ%3D%3D</t>
  </si>
  <si>
    <t>SO-8L</t>
  </si>
  <si>
    <t>BSC034N10LS5ATMA1</t>
  </si>
  <si>
    <t>https://www.mouser.de/ProductDetail/Infineon-Technologies/BSC034N10LS5ATMA1?qs=l7cgNqFNU1i%2FpRLI2lWRSw%3D%3D</t>
  </si>
  <si>
    <t>NVMFWS3D6N10MCLT1G</t>
  </si>
  <si>
    <t>https://www.mouser.de/ProductDetail/onsemi/NVMFWS3D6N10MCLT1G?qs=sPbYRqrBIVmiQ6ca7hlsoQ%3D%3D</t>
  </si>
  <si>
    <t>CSD19535KTTT</t>
  </si>
  <si>
    <t>https://www.mouser.de/ProductDetail/Texas-Instruments/CSD19535KTTT?qs=MiqG6Kq1qKNxU2F484Q6Ww%3D%3D</t>
  </si>
  <si>
    <t>TO-263-3</t>
  </si>
  <si>
    <t xml:space="preserve">CSD18531Q5A </t>
  </si>
  <si>
    <t>https://www.mouser.de/ProductDetail/Texas-Instruments/CSD18531Q5A?qs=yHb6XuIhq3cAwE3tw9WTPg%3D%3D</t>
  </si>
  <si>
    <t>VSONP-8</t>
  </si>
  <si>
    <t>CCSPG1060N</t>
  </si>
  <si>
    <t>https://www.mouser.de/ProductDetail/Central-Semiconductor/CCSPG1060N-TR-PBFREE?qs=ST9lo4GX8V2r7J7x3i9BPA%3D%3D</t>
  </si>
  <si>
    <t>CSP-8</t>
  </si>
  <si>
    <t>GAN7R0-150LBEZ</t>
  </si>
  <si>
    <t>https://www.mouser.de/ProductDetail/771-GAN7R0-150LBEZ</t>
  </si>
  <si>
    <t>FCLGA-3</t>
  </si>
  <si>
    <t>TPH7R006PL,L1Q</t>
  </si>
  <si>
    <t>https://www.mouser.de/ProductDetail/Toshiba/TPH7R006PLL1Q?qs=bUPhaerQQeGuknE1j3OfAg%3D%3D</t>
  </si>
  <si>
    <t>SOP-8</t>
  </si>
  <si>
    <t>CSD19531Q5A</t>
  </si>
  <si>
    <t>https://www.mouser.de/ProductDetail/Texas-Instruments/CSD19531Q5AT?qs=hNud%2FORuBR3qbguRykIRFQ%3D%3D</t>
  </si>
  <si>
    <t>IRFR7540TRPBF</t>
  </si>
  <si>
    <t>https://www.mouser.de/ProductDetail/Infineon-Technologies/IRFR7540TRPBF?qs=NBFAU1oqP4UDZQjtpL9DJA%3D%3D</t>
  </si>
  <si>
    <t>TO-252-3</t>
  </si>
  <si>
    <t>CSD19532KTT</t>
  </si>
  <si>
    <t>https://www.mouser.de/ProductDetail/Texas-Instruments/CSD19532KTT?qs=8%2FmU9qzJpL%2FRFMJlK8i8YQ%3D%3D</t>
  </si>
  <si>
    <t>GS61008P-TR</t>
  </si>
  <si>
    <t>https://www.mouser.de/ProductDetail/Infineon-Technologies/GS61008P-TR?qs=bAKSY%2FctAC5hlGJWatyECA%3D%3D</t>
  </si>
  <si>
    <t>GaNPX</t>
  </si>
  <si>
    <t xml:space="preserve">NTB7D3N15MC </t>
  </si>
  <si>
    <t>https://www.mouser.de/ProductDetail/onsemi/NTB7D3N15MC?qs=iLbezkQI%252Bsggb2GNRyvdwQ%3D%3D</t>
  </si>
  <si>
    <t>CSD19531KCS</t>
  </si>
  <si>
    <t>https://www.mouser.de/ProductDetail/595-CSD19531KCS</t>
  </si>
  <si>
    <t>GS61004B-MR</t>
  </si>
  <si>
    <t>https://www.mouser.de/ProductDetail/Infineon-Technologies/GS61004B-MR?qs=OlC7AqGiEDkQI26Ffzps3A%3D%3D</t>
  </si>
  <si>
    <t>GaNpx</t>
  </si>
  <si>
    <t>GaN-on-Si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</si>
</sst>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yyyy"/>
    <numFmt numFmtId="165" formatCode="dd\.mm\.yyyy"/>
    <numFmt numFmtId="166" formatCode="0.000"/>
    <numFmt numFmtId="167" formatCode="0.0"/>
    <numFmt numFmtId="168" formatCode="#,##0.000"/>
    <numFmt numFmtId="169" formatCode="#,##0.0"/>
    <numFmt numFmtId="170" formatCode="d\.m\.yy"/>
    <numFmt numFmtId="171" formatCode="#,##0.00&quot;€&quot;"/>
    <numFmt numFmtId="172" formatCode="#,##0.00\ [$€-1]"/>
  </numFmts>
  <fonts count="21">
    <font>
      <sz val="10"/>
      <color rgb="FF000000"/>
      <name val="Arial"/>
      <scheme val="minor"/>
    </font>
    <font>
      <b/>
      <sz val="18"/>
      <color theme="1"/>
      <name val="Helvetica Neue"/>
    </font>
    <font>
      <b/>
      <u/>
      <sz val="12"/>
      <color rgb="FF000000"/>
      <name val="&quot;Helvetica Neue&quot;"/>
    </font>
    <font>
      <sz val="10"/>
      <color theme="1"/>
      <name val="Arial"/>
      <scheme val="minor"/>
    </font>
    <font>
      <u/>
      <sz val="10"/>
      <color rgb="FF0000FF"/>
      <name val="Arial"/>
    </font>
    <font>
      <b/>
      <sz val="10"/>
      <color theme="1"/>
      <name val="Arial"/>
      <scheme val="minor"/>
    </font>
    <font>
      <sz val="9"/>
      <color rgb="FF000000"/>
      <name val="&quot;Helvetica Neue&quot;"/>
    </font>
    <font>
      <sz val="9"/>
      <color theme="1"/>
      <name val="Arial"/>
      <scheme val="minor"/>
    </font>
    <font>
      <u/>
      <sz val="9"/>
      <color rgb="FF0000FF"/>
      <name val="Arial"/>
    </font>
    <font>
      <sz val="10"/>
      <color theme="1"/>
      <name val="Arial"/>
    </font>
    <font>
      <sz val="10"/>
      <color rgb="FF000000"/>
      <name val="&quot;Arial&quot;"/>
    </font>
    <font>
      <b/>
      <sz val="10"/>
      <color theme="1"/>
      <name val="Arial"/>
    </font>
    <font>
      <i/>
      <sz val="10"/>
      <color theme="1"/>
      <name val="Arial"/>
    </font>
    <font>
      <i/>
      <sz val="10"/>
      <color theme="1"/>
      <name val="Arial"/>
      <scheme val="minor"/>
    </font>
    <font>
      <b/>
      <u/>
      <sz val="10"/>
      <color rgb="FF0000FF"/>
      <name val="Arial"/>
    </font>
    <font>
      <b/>
      <sz val="9"/>
      <color theme="1"/>
      <name val="Arial"/>
    </font>
    <font>
      <sz val="10"/>
      <color rgb="FFFFFFFF"/>
      <name val="Arial"/>
    </font>
    <font>
      <b/>
      <u/>
      <sz val="12"/>
      <color rgb="FF1155CC"/>
      <name val="&quot;Helvetica Neue&quot;, sans-serif"/>
    </font>
    <font>
      <u/>
      <sz val="10"/>
      <color rgb="FF1155CC"/>
      <name val="Arial"/>
    </font>
    <font>
      <b/>
      <sz val="10"/>
      <name val="Arial"/>
    </font>
    <font>
      <b/>
      <u/>
      <sz val="10"/>
      <color rgb="FF1155CC"/>
      <name val="Arial"/>
    </font>
  </fonts>
  <fills count="176">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C8BB74"/>
        <bgColor rgb="FFC8BB74"/>
      </patternFill>
    </fill>
    <fill>
      <patternFill patternType="solid">
        <fgColor rgb="FF93C47D"/>
        <bgColor rgb="FF93C47D"/>
      </patternFill>
    </fill>
    <fill>
      <patternFill patternType="solid">
        <fgColor rgb="FFA3C27B"/>
        <bgColor rgb="FFA3C27B"/>
      </patternFill>
    </fill>
    <fill>
      <patternFill patternType="solid">
        <fgColor rgb="FFA2C27B"/>
        <bgColor rgb="FFA2C27B"/>
      </patternFill>
    </fill>
    <fill>
      <patternFill patternType="solid">
        <fgColor rgb="FFA5C17A"/>
        <bgColor rgb="FFA5C17A"/>
      </patternFill>
    </fill>
    <fill>
      <patternFill patternType="solid">
        <fgColor rgb="FFD6B871"/>
        <bgColor rgb="FFD6B871"/>
      </patternFill>
    </fill>
    <fill>
      <patternFill patternType="solid">
        <fgColor rgb="FFB8BE77"/>
        <bgColor rgb="FFB8BE77"/>
      </patternFill>
    </fill>
    <fill>
      <patternFill patternType="solid">
        <fgColor rgb="FFB4BE77"/>
        <bgColor rgb="FFB4BE77"/>
      </patternFill>
    </fill>
    <fill>
      <patternFill patternType="solid">
        <fgColor rgb="FFBCBD76"/>
        <bgColor rgb="FFBCBD76"/>
      </patternFill>
    </fill>
    <fill>
      <patternFill patternType="solid">
        <fgColor rgb="FFBABD76"/>
        <bgColor rgb="FFBABD76"/>
      </patternFill>
    </fill>
    <fill>
      <patternFill patternType="solid">
        <fgColor rgb="FFBCFFBC"/>
        <bgColor rgb="FFBCFFBC"/>
      </patternFill>
    </fill>
    <fill>
      <patternFill patternType="solid">
        <fgColor rgb="FFA6C17A"/>
        <bgColor rgb="FFA6C17A"/>
      </patternFill>
    </fill>
    <fill>
      <patternFill patternType="solid">
        <fgColor rgb="FFB3BF78"/>
        <bgColor rgb="FFB3BF78"/>
      </patternFill>
    </fill>
    <fill>
      <patternFill patternType="solid">
        <fgColor rgb="FFB7BE77"/>
        <bgColor rgb="FFB7BE77"/>
      </patternFill>
    </fill>
    <fill>
      <patternFill patternType="solid">
        <fgColor rgb="FFB1BF78"/>
        <bgColor rgb="FFB1BF78"/>
      </patternFill>
    </fill>
    <fill>
      <patternFill patternType="solid">
        <fgColor rgb="FFCABA73"/>
        <bgColor rgb="FFCABA73"/>
      </patternFill>
    </fill>
    <fill>
      <patternFill patternType="solid">
        <fgColor rgb="FFD5B871"/>
        <bgColor rgb="FFD5B871"/>
      </patternFill>
    </fill>
    <fill>
      <patternFill patternType="solid">
        <fgColor rgb="FFC2BC75"/>
        <bgColor rgb="FFC2BC75"/>
      </patternFill>
    </fill>
    <fill>
      <patternFill patternType="solid">
        <fgColor rgb="FFC7F2C7"/>
        <bgColor rgb="FFC7F2C7"/>
      </patternFill>
    </fill>
    <fill>
      <patternFill patternType="solid">
        <fgColor rgb="FFA8C17A"/>
        <bgColor rgb="FFA8C17A"/>
      </patternFill>
    </fill>
    <fill>
      <patternFill patternType="solid">
        <fgColor rgb="FFAAC079"/>
        <bgColor rgb="FFAAC079"/>
      </patternFill>
    </fill>
    <fill>
      <patternFill patternType="solid">
        <fgColor rgb="FFAEC079"/>
        <bgColor rgb="FFAEC079"/>
      </patternFill>
    </fill>
    <fill>
      <patternFill patternType="solid">
        <fgColor rgb="FFB0BF78"/>
        <bgColor rgb="FFB0BF78"/>
      </patternFill>
    </fill>
    <fill>
      <patternFill patternType="solid">
        <fgColor rgb="FFACC079"/>
        <bgColor rgb="FFACC079"/>
      </patternFill>
    </fill>
    <fill>
      <patternFill patternType="solid">
        <fgColor rgb="FFB2BF78"/>
        <bgColor rgb="FFB2BF78"/>
      </patternFill>
    </fill>
    <fill>
      <patternFill patternType="solid">
        <fgColor rgb="FFB5BE77"/>
        <bgColor rgb="FFB5BE77"/>
      </patternFill>
    </fill>
    <fill>
      <patternFill patternType="solid">
        <fgColor rgb="FFB6BE77"/>
        <bgColor rgb="FFB6BE77"/>
      </patternFill>
    </fill>
    <fill>
      <patternFill patternType="solid">
        <fgColor rgb="FFC6F1C6"/>
        <bgColor rgb="FFC6F1C6"/>
      </patternFill>
    </fill>
    <fill>
      <patternFill patternType="solid">
        <fgColor rgb="FFCBBA73"/>
        <bgColor rgb="FFCBBA73"/>
      </patternFill>
    </fill>
    <fill>
      <patternFill patternType="solid">
        <fgColor rgb="FF96E696"/>
        <bgColor rgb="FF96E696"/>
      </patternFill>
    </fill>
    <fill>
      <patternFill patternType="solid">
        <fgColor rgb="FFD3B972"/>
        <bgColor rgb="FFD3B972"/>
      </patternFill>
    </fill>
    <fill>
      <patternFill patternType="solid">
        <fgColor rgb="FF70DC70"/>
        <bgColor rgb="FF70DC70"/>
      </patternFill>
    </fill>
    <fill>
      <patternFill patternType="solid">
        <fgColor rgb="FFBFBC75"/>
        <bgColor rgb="FFBFBC75"/>
      </patternFill>
    </fill>
    <fill>
      <patternFill patternType="solid">
        <fgColor rgb="FFC3F1C3"/>
        <bgColor rgb="FFC3F1C3"/>
      </patternFill>
    </fill>
    <fill>
      <patternFill patternType="solid">
        <fgColor rgb="FF60D860"/>
        <bgColor rgb="FF60D860"/>
      </patternFill>
    </fill>
    <fill>
      <patternFill patternType="solid">
        <fgColor rgb="FFADEBAD"/>
        <bgColor rgb="FFADEBAD"/>
      </patternFill>
    </fill>
    <fill>
      <patternFill patternType="solid">
        <fgColor rgb="FF55D655"/>
        <bgColor rgb="FF55D655"/>
      </patternFill>
    </fill>
    <fill>
      <patternFill patternType="solid">
        <fgColor rgb="FFC0F0C0"/>
        <bgColor rgb="FFC0F0C0"/>
      </patternFill>
    </fill>
    <fill>
      <patternFill patternType="solid">
        <fgColor rgb="FF54D554"/>
        <bgColor rgb="FF54D554"/>
      </patternFill>
    </fill>
    <fill>
      <patternFill patternType="solid">
        <fgColor rgb="FFA3C17A"/>
        <bgColor rgb="FFA3C17A"/>
      </patternFill>
    </fill>
    <fill>
      <patternFill patternType="solid">
        <fgColor rgb="FF54D654"/>
        <bgColor rgb="FF54D654"/>
      </patternFill>
    </fill>
    <fill>
      <patternFill patternType="solid">
        <fgColor rgb="FFADC079"/>
        <bgColor rgb="FFADC079"/>
      </patternFill>
    </fill>
    <fill>
      <patternFill patternType="solid">
        <fgColor rgb="FFF9FEF9"/>
        <bgColor rgb="FFF9FEF9"/>
      </patternFill>
    </fill>
    <fill>
      <patternFill patternType="solid">
        <fgColor rgb="FFBDBD76"/>
        <bgColor rgb="FFBDBD76"/>
      </patternFill>
    </fill>
    <fill>
      <patternFill patternType="solid">
        <fgColor rgb="FFDDF7DD"/>
        <bgColor rgb="FFDDF7DD"/>
      </patternFill>
    </fill>
    <fill>
      <patternFill patternType="solid">
        <fgColor rgb="FFE2B66F"/>
        <bgColor rgb="FFE2B66F"/>
      </patternFill>
    </fill>
    <fill>
      <patternFill patternType="solid">
        <fgColor rgb="FFE7B56E"/>
        <bgColor rgb="FFE7B56E"/>
      </patternFill>
    </fill>
    <fill>
      <patternFill patternType="solid">
        <fgColor rgb="FFEDFBED"/>
        <bgColor rgb="FFEDFBED"/>
      </patternFill>
    </fill>
    <fill>
      <patternFill patternType="solid">
        <fgColor rgb="FFD8B871"/>
        <bgColor rgb="FFD8B871"/>
      </patternFill>
    </fill>
    <fill>
      <patternFill patternType="solid">
        <fgColor rgb="FFB9EEB9"/>
        <bgColor rgb="FFB9EEB9"/>
      </patternFill>
    </fill>
    <fill>
      <patternFill patternType="solid">
        <fgColor rgb="FF9CE79C"/>
        <bgColor rgb="FF9CE79C"/>
      </patternFill>
    </fill>
    <fill>
      <patternFill patternType="solid">
        <fgColor rgb="FFC1BC75"/>
        <bgColor rgb="FFC1BC75"/>
      </patternFill>
    </fill>
    <fill>
      <patternFill patternType="solid">
        <fgColor rgb="FF81E181"/>
        <bgColor rgb="FF81E181"/>
      </patternFill>
    </fill>
    <fill>
      <patternFill patternType="solid">
        <fgColor rgb="FF75DD75"/>
        <bgColor rgb="FF75DD75"/>
      </patternFill>
    </fill>
    <fill>
      <patternFill patternType="solid">
        <fgColor rgb="FFC3BC75"/>
        <bgColor rgb="FFC3BC75"/>
      </patternFill>
    </fill>
    <fill>
      <patternFill patternType="solid">
        <fgColor rgb="FF76DE76"/>
        <bgColor rgb="FF76DE76"/>
      </patternFill>
    </fill>
    <fill>
      <patternFill patternType="solid">
        <fgColor rgb="FF64D964"/>
        <bgColor rgb="FF64D964"/>
      </patternFill>
    </fill>
    <fill>
      <patternFill patternType="solid">
        <fgColor rgb="FF6FDC6F"/>
        <bgColor rgb="FF6FDC6F"/>
      </patternFill>
    </fill>
    <fill>
      <patternFill patternType="solid">
        <fgColor rgb="FF4FD44F"/>
        <bgColor rgb="FF4FD44F"/>
      </patternFill>
    </fill>
    <fill>
      <patternFill patternType="solid">
        <fgColor rgb="FFD0B972"/>
        <bgColor rgb="FFD0B972"/>
      </patternFill>
    </fill>
    <fill>
      <patternFill patternType="solid">
        <fgColor rgb="FF6CDB6C"/>
        <bgColor rgb="FF6CDB6C"/>
      </patternFill>
    </fill>
    <fill>
      <patternFill patternType="solid">
        <fgColor rgb="FF46D246"/>
        <bgColor rgb="FF46D246"/>
      </patternFill>
    </fill>
    <fill>
      <patternFill patternType="solid">
        <fgColor rgb="FF40D140"/>
        <bgColor rgb="FF40D140"/>
      </patternFill>
    </fill>
    <fill>
      <patternFill patternType="solid">
        <fgColor rgb="FFA9C079"/>
        <bgColor rgb="FFA9C079"/>
      </patternFill>
    </fill>
    <fill>
      <patternFill patternType="solid">
        <fgColor rgb="FF3DD03D"/>
        <bgColor rgb="FF3DD03D"/>
      </patternFill>
    </fill>
    <fill>
      <patternFill patternType="solid">
        <fgColor rgb="FF3FD03F"/>
        <bgColor rgb="FF3FD03F"/>
      </patternFill>
    </fill>
    <fill>
      <patternFill patternType="solid">
        <fgColor rgb="FF41D141"/>
        <bgColor rgb="FF41D141"/>
      </patternFill>
    </fill>
    <fill>
      <patternFill patternType="solid">
        <fgColor rgb="FFB9BE77"/>
        <bgColor rgb="FFB9BE77"/>
      </patternFill>
    </fill>
    <fill>
      <patternFill patternType="solid">
        <fgColor rgb="FFBEBD76"/>
        <bgColor rgb="FFBEBD76"/>
      </patternFill>
    </fill>
    <fill>
      <patternFill patternType="solid">
        <fgColor rgb="FFDEF7DE"/>
        <bgColor rgb="FFDEF7DE"/>
      </patternFill>
    </fill>
    <fill>
      <patternFill patternType="solid">
        <fgColor rgb="FFE6B56E"/>
        <bgColor rgb="FFE6B56E"/>
      </patternFill>
    </fill>
    <fill>
      <patternFill patternType="solid">
        <fgColor rgb="FFECB46D"/>
        <bgColor rgb="FFECB46D"/>
      </patternFill>
    </fill>
    <fill>
      <patternFill patternType="solid">
        <fgColor rgb="FFF6FDF6"/>
        <bgColor rgb="FFF6FDF6"/>
      </patternFill>
    </fill>
    <fill>
      <patternFill patternType="solid">
        <fgColor rgb="FFECFBEC"/>
        <bgColor rgb="FFECFBEC"/>
      </patternFill>
    </fill>
    <fill>
      <patternFill patternType="solid">
        <fgColor rgb="FFEFB46D"/>
        <bgColor rgb="FFEFB46D"/>
      </patternFill>
    </fill>
    <fill>
      <patternFill patternType="solid">
        <fgColor rgb="FFDCF7DC"/>
        <bgColor rgb="FFDCF7DC"/>
      </patternFill>
    </fill>
    <fill>
      <patternFill patternType="solid">
        <fgColor rgb="FFA2E8A2"/>
        <bgColor rgb="FFA2E8A2"/>
      </patternFill>
    </fill>
    <fill>
      <patternFill patternType="solid">
        <fgColor rgb="FFF6B06A"/>
        <bgColor rgb="FFF6B06A"/>
      </patternFill>
    </fill>
    <fill>
      <patternFill patternType="solid">
        <fgColor rgb="FFCFF4CF"/>
        <bgColor rgb="FFCFF4CF"/>
      </patternFill>
    </fill>
    <fill>
      <patternFill patternType="solid">
        <fgColor rgb="FF7BDF7B"/>
        <bgColor rgb="FF7BDF7B"/>
      </patternFill>
    </fill>
    <fill>
      <patternFill patternType="solid">
        <fgColor rgb="FFE9B56E"/>
        <bgColor rgb="FFE9B56E"/>
      </patternFill>
    </fill>
    <fill>
      <patternFill patternType="solid">
        <fgColor rgb="FFA8EAA8"/>
        <bgColor rgb="FFA8EAA8"/>
      </patternFill>
    </fill>
    <fill>
      <patternFill patternType="solid">
        <fgColor rgb="FF69DA69"/>
        <bgColor rgb="FF69DA69"/>
      </patternFill>
    </fill>
    <fill>
      <patternFill patternType="solid">
        <fgColor rgb="FF7FE07F"/>
        <bgColor rgb="FF7FE07F"/>
      </patternFill>
    </fill>
    <fill>
      <patternFill patternType="solid">
        <fgColor rgb="FFC6BB74"/>
        <bgColor rgb="FFC6BB74"/>
      </patternFill>
    </fill>
    <fill>
      <patternFill patternType="solid">
        <fgColor rgb="FF52D552"/>
        <bgColor rgb="FF52D552"/>
      </patternFill>
    </fill>
    <fill>
      <patternFill patternType="solid">
        <fgColor rgb="FFCCBA73"/>
        <bgColor rgb="FFCCBA73"/>
      </patternFill>
    </fill>
    <fill>
      <patternFill patternType="solid">
        <fgColor rgb="FF5CD75C"/>
        <bgColor rgb="FF5CD75C"/>
      </patternFill>
    </fill>
    <fill>
      <patternFill patternType="solid">
        <fgColor rgb="FF4DD44D"/>
        <bgColor rgb="FF4DD44D"/>
      </patternFill>
    </fill>
    <fill>
      <patternFill patternType="solid">
        <fgColor rgb="FFCDBA73"/>
        <bgColor rgb="FFCDBA73"/>
      </patternFill>
    </fill>
    <fill>
      <patternFill patternType="solid">
        <fgColor rgb="FF56D656"/>
        <bgColor rgb="FF56D656"/>
      </patternFill>
    </fill>
    <fill>
      <patternFill patternType="solid">
        <fgColor rgb="FF3BCF3B"/>
        <bgColor rgb="FF3BCF3B"/>
      </patternFill>
    </fill>
    <fill>
      <patternFill patternType="solid">
        <fgColor rgb="FF53D553"/>
        <bgColor rgb="FF53D553"/>
      </patternFill>
    </fill>
    <fill>
      <patternFill patternType="solid">
        <fgColor rgb="FF38CF38"/>
        <bgColor rgb="FF38CF38"/>
      </patternFill>
    </fill>
    <fill>
      <patternFill patternType="solid">
        <fgColor rgb="FF51D551"/>
        <bgColor rgb="FF51D551"/>
      </patternFill>
    </fill>
    <fill>
      <patternFill patternType="solid">
        <fgColor rgb="FF37CE37"/>
        <bgColor rgb="FF37CE37"/>
      </patternFill>
    </fill>
    <fill>
      <patternFill patternType="solid">
        <fgColor rgb="FF35CE35"/>
        <bgColor rgb="FF35CE35"/>
      </patternFill>
    </fill>
    <fill>
      <patternFill patternType="solid">
        <fgColor rgb="FFF2FCF2"/>
        <bgColor rgb="FFF2FCF2"/>
      </patternFill>
    </fill>
    <fill>
      <patternFill patternType="solid">
        <fgColor rgb="FFD1B972"/>
        <bgColor rgb="FFD1B972"/>
      </patternFill>
    </fill>
    <fill>
      <patternFill patternType="solid">
        <fgColor rgb="FFA7EAA7"/>
        <bgColor rgb="FFA7EAA7"/>
      </patternFill>
    </fill>
    <fill>
      <patternFill patternType="solid">
        <fgColor rgb="FFF79D5F"/>
        <bgColor rgb="FFF79D5F"/>
      </patternFill>
    </fill>
    <fill>
      <patternFill patternType="solid">
        <fgColor rgb="FF8AE38A"/>
        <bgColor rgb="FF8AE38A"/>
      </patternFill>
    </fill>
    <fill>
      <patternFill patternType="solid">
        <fgColor rgb="FF68DA68"/>
        <bgColor rgb="FF68DA68"/>
      </patternFill>
    </fill>
    <fill>
      <patternFill patternType="solid">
        <fgColor rgb="FF47D247"/>
        <bgColor rgb="FF47D247"/>
      </patternFill>
    </fill>
    <fill>
      <patternFill patternType="solid">
        <fgColor rgb="FF32CD32"/>
        <bgColor rgb="FF32CD32"/>
      </patternFill>
    </fill>
    <fill>
      <patternFill patternType="solid">
        <fgColor rgb="FFBBBD76"/>
        <bgColor rgb="FFBBBD76"/>
      </patternFill>
    </fill>
    <fill>
      <patternFill patternType="solid">
        <fgColor rgb="FF30CD30"/>
        <bgColor rgb="FF30CD30"/>
      </patternFill>
    </fill>
    <fill>
      <patternFill patternType="solid">
        <fgColor rgb="FF2ECC2E"/>
        <bgColor rgb="FF2ECC2E"/>
      </patternFill>
    </fill>
    <fill>
      <patternFill patternType="solid">
        <fgColor rgb="FF2FCC2F"/>
        <bgColor rgb="FF2FCC2F"/>
      </patternFill>
    </fill>
    <fill>
      <patternFill patternType="solid">
        <fgColor rgb="FFC9BB74"/>
        <bgColor rgb="FFC9BB74"/>
      </patternFill>
    </fill>
    <fill>
      <patternFill patternType="solid">
        <fgColor rgb="FFDDB770"/>
        <bgColor rgb="FFDDB770"/>
      </patternFill>
    </fill>
    <fill>
      <patternFill patternType="solid">
        <fgColor rgb="FFE5B56E"/>
        <bgColor rgb="FFE5B56E"/>
      </patternFill>
    </fill>
    <fill>
      <patternFill patternType="solid">
        <fgColor rgb="FFBAEEBA"/>
        <bgColor rgb="FFBAEEBA"/>
      </patternFill>
    </fill>
    <fill>
      <patternFill patternType="solid">
        <fgColor rgb="FFEAB56E"/>
        <bgColor rgb="FFEAB56E"/>
      </patternFill>
    </fill>
    <fill>
      <patternFill patternType="solid">
        <fgColor rgb="FF95E595"/>
        <bgColor rgb="FF95E595"/>
      </patternFill>
    </fill>
    <fill>
      <patternFill patternType="solid">
        <fgColor rgb="FF83E183"/>
        <bgColor rgb="FF83E183"/>
      </patternFill>
    </fill>
    <fill>
      <patternFill patternType="solid">
        <fgColor rgb="FF9AE79A"/>
        <bgColor rgb="FF9AE79A"/>
      </patternFill>
    </fill>
    <fill>
      <patternFill patternType="solid">
        <fgColor rgb="FF62D962"/>
        <bgColor rgb="FF62D962"/>
      </patternFill>
    </fill>
    <fill>
      <patternFill patternType="solid">
        <fgColor rgb="FF4AD34A"/>
        <bgColor rgb="FF4AD34A"/>
      </patternFill>
    </fill>
    <fill>
      <patternFill patternType="solid">
        <fgColor rgb="FF43D143"/>
        <bgColor rgb="FF43D143"/>
      </patternFill>
    </fill>
    <fill>
      <patternFill patternType="solid">
        <fgColor rgb="FF39CF39"/>
        <bgColor rgb="FF39CF39"/>
      </patternFill>
    </fill>
    <fill>
      <patternFill patternType="solid">
        <fgColor rgb="FF34CE34"/>
        <bgColor rgb="FF34CE34"/>
      </patternFill>
    </fill>
    <fill>
      <patternFill patternType="solid">
        <fgColor rgb="FFAFBF78"/>
        <bgColor rgb="FFAFBF78"/>
      </patternFill>
    </fill>
    <fill>
      <patternFill patternType="solid">
        <fgColor rgb="FFC0BC75"/>
        <bgColor rgb="FFC0BC75"/>
      </patternFill>
    </fill>
    <fill>
      <patternFill patternType="solid">
        <fgColor rgb="FFC5BB74"/>
        <bgColor rgb="FFC5BB74"/>
      </patternFill>
    </fill>
    <fill>
      <patternFill patternType="solid">
        <fgColor rgb="FFD7B871"/>
        <bgColor rgb="FFD7B871"/>
      </patternFill>
    </fill>
    <fill>
      <patternFill patternType="solid">
        <fgColor rgb="FFE1B66F"/>
        <bgColor rgb="FFE1B66F"/>
      </patternFill>
    </fill>
    <fill>
      <patternFill patternType="solid">
        <fgColor rgb="FFEEB46D"/>
        <bgColor rgb="FFEEB46D"/>
      </patternFill>
    </fill>
    <fill>
      <patternFill patternType="solid">
        <fgColor rgb="FFF79459"/>
        <bgColor rgb="FFF79459"/>
      </patternFill>
    </fill>
    <fill>
      <patternFill patternType="solid">
        <fgColor rgb="FFF97647"/>
        <bgColor rgb="FFF97647"/>
      </patternFill>
    </fill>
    <fill>
      <patternFill patternType="solid">
        <fgColor rgb="FFF9653D"/>
        <bgColor rgb="FFF9653D"/>
      </patternFill>
    </fill>
    <fill>
      <patternFill patternType="solid">
        <fgColor rgb="FFC7BB74"/>
        <bgColor rgb="FFC7BB74"/>
      </patternFill>
    </fill>
    <fill>
      <patternFill patternType="solid">
        <fgColor rgb="FFCFBA73"/>
        <bgColor rgb="FFCFBA73"/>
      </patternFill>
    </fill>
    <fill>
      <patternFill patternType="solid">
        <fgColor rgb="FFDCB770"/>
        <bgColor rgb="FFDCB770"/>
      </patternFill>
    </fill>
    <fill>
      <patternFill patternType="solid">
        <fgColor rgb="FFDEB770"/>
        <bgColor rgb="FFDEB770"/>
      </patternFill>
    </fill>
    <fill>
      <patternFill patternType="solid">
        <fgColor rgb="FF48D348"/>
        <bgColor rgb="FF48D348"/>
      </patternFill>
    </fill>
    <fill>
      <patternFill patternType="solid">
        <fgColor rgb="FFF6B26B"/>
        <bgColor rgb="FFF6B26B"/>
      </patternFill>
    </fill>
    <fill>
      <patternFill patternType="solid">
        <fgColor rgb="FFF78D55"/>
        <bgColor rgb="FFF78D55"/>
      </patternFill>
    </fill>
    <fill>
      <patternFill patternType="solid">
        <fgColor rgb="FFF97345"/>
        <bgColor rgb="FFF97345"/>
      </patternFill>
    </fill>
    <fill>
      <patternFill patternType="solid">
        <fgColor rgb="FFFA5232"/>
        <bgColor rgb="FFFA5232"/>
      </patternFill>
    </fill>
    <fill>
      <patternFill patternType="solid">
        <fgColor rgb="FFFC3721"/>
        <bgColor rgb="FFFC3721"/>
      </patternFill>
    </fill>
    <fill>
      <patternFill patternType="solid">
        <fgColor rgb="FFFD1D12"/>
        <bgColor rgb="FFFD1D12"/>
      </patternFill>
    </fill>
    <fill>
      <patternFill patternType="solid">
        <fgColor rgb="FFFE120B"/>
        <bgColor rgb="FFFE120B"/>
      </patternFill>
    </fill>
    <fill>
      <patternFill patternType="solid">
        <fgColor rgb="FFFE0201"/>
        <bgColor rgb="FFFE0201"/>
      </patternFill>
    </fill>
    <fill>
      <patternFill patternType="solid">
        <fgColor rgb="FFFF0000"/>
        <bgColor rgb="FFFF0000"/>
      </patternFill>
    </fill>
    <fill>
      <patternFill patternType="solid">
        <fgColor rgb="FFCEBA73"/>
        <bgColor rgb="FFCEBA73"/>
      </patternFill>
    </fill>
    <fill>
      <patternFill patternType="solid">
        <fgColor rgb="FFD2B972"/>
        <bgColor rgb="FFD2B972"/>
      </patternFill>
    </fill>
    <fill>
      <patternFill patternType="solid">
        <fgColor rgb="FFE0B66F"/>
        <bgColor rgb="FFE0B66F"/>
      </patternFill>
    </fill>
    <fill>
      <patternFill patternType="solid">
        <fgColor rgb="FF4BD34B"/>
        <bgColor rgb="FF4BD34B"/>
      </patternFill>
    </fill>
    <fill>
      <patternFill patternType="solid">
        <fgColor rgb="FFE8B56E"/>
        <bgColor rgb="FFE8B56E"/>
      </patternFill>
    </fill>
    <fill>
      <patternFill patternType="solid">
        <fgColor rgb="FFF6A060"/>
        <bgColor rgb="FFF6A060"/>
      </patternFill>
    </fill>
    <fill>
      <patternFill patternType="solid">
        <fgColor rgb="FFF78B54"/>
        <bgColor rgb="FFF78B54"/>
      </patternFill>
    </fill>
    <fill>
      <patternFill patternType="solid">
        <fgColor rgb="FFF87E4C"/>
        <bgColor rgb="FFF87E4C"/>
      </patternFill>
    </fill>
    <fill>
      <patternFill patternType="solid">
        <fgColor rgb="FFF9683F"/>
        <bgColor rgb="FFF9683F"/>
      </patternFill>
    </fill>
    <fill>
      <patternFill patternType="solid">
        <fgColor rgb="FFFA613A"/>
        <bgColor rgb="FFFA613A"/>
      </patternFill>
    </fill>
    <fill>
      <patternFill patternType="solid">
        <fgColor rgb="FFFB482C"/>
        <bgColor rgb="FFFB482C"/>
      </patternFill>
    </fill>
    <fill>
      <patternFill patternType="solid">
        <fgColor rgb="FFFC2C1B"/>
        <bgColor rgb="FFFC2C1B"/>
      </patternFill>
    </fill>
    <fill>
      <patternFill patternType="solid">
        <fgColor rgb="FFFE0906"/>
        <bgColor rgb="FFFE0906"/>
      </patternFill>
    </fill>
    <fill>
      <patternFill patternType="solid">
        <fgColor rgb="FFC4BB74"/>
        <bgColor rgb="FFC4BB74"/>
      </patternFill>
    </fill>
    <fill>
      <patternFill patternType="solid">
        <fgColor rgb="FFF6AC68"/>
        <bgColor rgb="FFF6AC68"/>
      </patternFill>
    </fill>
    <fill>
      <patternFill patternType="solid">
        <fgColor rgb="FFF78C54"/>
        <bgColor rgb="FFF78C54"/>
      </patternFill>
    </fill>
    <fill>
      <patternFill patternType="solid">
        <fgColor rgb="FFF87C4B"/>
        <bgColor rgb="FFF87C4B"/>
      </patternFill>
    </fill>
    <fill>
      <patternFill patternType="solid">
        <fgColor rgb="FFF96B40"/>
        <bgColor rgb="FFF96B40"/>
      </patternFill>
    </fill>
    <fill>
      <patternFill patternType="solid">
        <fgColor rgb="FFFA5936"/>
        <bgColor rgb="FFFA5936"/>
      </patternFill>
    </fill>
    <fill>
      <patternFill patternType="solid">
        <fgColor rgb="FFFB4C2E"/>
        <bgColor rgb="FFFB4C2E"/>
      </patternFill>
    </fill>
    <fill>
      <patternFill patternType="solid">
        <fgColor rgb="FFFC2E1C"/>
        <bgColor rgb="FFFC2E1C"/>
      </patternFill>
    </fill>
    <fill>
      <patternFill patternType="solid">
        <fgColor rgb="FFFD2013"/>
        <bgColor rgb="FFFD2013"/>
      </patternFill>
    </fill>
    <fill>
      <patternFill patternType="solid">
        <fgColor rgb="FFFE0704"/>
        <bgColor rgb="FFFE0704"/>
      </patternFill>
    </fill>
    <fill>
      <patternFill patternType="solid">
        <fgColor rgb="FFFF9900"/>
        <bgColor rgb="FFFF9900"/>
      </patternFill>
    </fill>
  </fills>
  <borders count="17">
    <border>
      <left/>
      <right/>
      <top/>
      <bottom/>
      <diagonal/>
    </border>
    <border>
      <left/>
      <right/>
      <top/>
      <bottom style="medium">
        <color rgb="FF000000"/>
      </bottom>
      <diagonal/>
    </border>
    <border>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402">
    <xf numFmtId="0" fontId="0" fillId="0" borderId="0" xfId="0"/>
    <xf numFmtId="0" fontId="1" fillId="0" borderId="0" xfId="0" applyFont="1"/>
    <xf numFmtId="0" fontId="2" fillId="0" borderId="0" xfId="0" applyFont="1"/>
    <xf numFmtId="0" fontId="3" fillId="0" borderId="0" xfId="0" applyFont="1"/>
    <xf numFmtId="164" fontId="3" fillId="0" borderId="0" xfId="0" applyNumberFormat="1" applyFont="1"/>
    <xf numFmtId="0" fontId="3" fillId="0" borderId="0" xfId="0" applyFont="1" applyAlignment="1">
      <alignment vertical="top" wrapText="1"/>
    </xf>
    <xf numFmtId="0" fontId="5" fillId="0" borderId="0" xfId="0" applyFont="1" applyAlignment="1">
      <alignment vertical="top"/>
    </xf>
    <xf numFmtId="0" fontId="6" fillId="0" borderId="0" xfId="0" applyFont="1" applyAlignment="1">
      <alignment horizontal="center" vertical="center"/>
    </xf>
    <xf numFmtId="0" fontId="7" fillId="0" borderId="0" xfId="0" applyFont="1" applyAlignment="1">
      <alignment horizontal="center" vertical="top" wrapText="1"/>
    </xf>
    <xf numFmtId="0" fontId="7" fillId="0" borderId="0" xfId="0" applyFont="1"/>
    <xf numFmtId="0" fontId="7" fillId="0" borderId="0" xfId="0" applyFont="1" applyAlignment="1">
      <alignment horizontal="center"/>
    </xf>
    <xf numFmtId="0" fontId="5" fillId="0" borderId="0" xfId="0" applyFont="1"/>
    <xf numFmtId="0" fontId="3" fillId="0" borderId="0" xfId="0" applyFont="1" applyAlignment="1">
      <alignment horizontal="right"/>
    </xf>
    <xf numFmtId="10" fontId="3" fillId="0" borderId="0" xfId="0" applyNumberFormat="1" applyFont="1"/>
    <xf numFmtId="0" fontId="3" fillId="0" borderId="0" xfId="0" applyFont="1" applyAlignment="1">
      <alignment horizontal="left"/>
    </xf>
    <xf numFmtId="165" fontId="3" fillId="0" borderId="0" xfId="0" applyNumberFormat="1" applyFont="1"/>
    <xf numFmtId="0" fontId="9" fillId="0" borderId="0" xfId="0" applyFont="1"/>
    <xf numFmtId="0" fontId="9" fillId="2" borderId="0" xfId="0" applyFont="1" applyFill="1"/>
    <xf numFmtId="0" fontId="9" fillId="0" borderId="0" xfId="0" applyFont="1" applyAlignment="1">
      <alignment horizontal="right"/>
    </xf>
    <xf numFmtId="165" fontId="9" fillId="0" borderId="0" xfId="0" applyNumberFormat="1" applyFont="1" applyAlignment="1">
      <alignment horizontal="right"/>
    </xf>
    <xf numFmtId="2" fontId="3" fillId="0" borderId="0" xfId="0" applyNumberFormat="1" applyFont="1"/>
    <xf numFmtId="166" fontId="3" fillId="0" borderId="0" xfId="0" applyNumberFormat="1" applyFont="1" applyAlignment="1">
      <alignment horizontal="right"/>
    </xf>
    <xf numFmtId="167" fontId="3" fillId="0" borderId="0" xfId="0" applyNumberFormat="1" applyFont="1" applyAlignment="1">
      <alignment horizontal="right"/>
    </xf>
    <xf numFmtId="167" fontId="9" fillId="0" borderId="0" xfId="0" applyNumberFormat="1" applyFont="1" applyAlignment="1">
      <alignment horizontal="right"/>
    </xf>
    <xf numFmtId="2" fontId="3" fillId="0" borderId="0" xfId="0" applyNumberFormat="1" applyFont="1" applyAlignment="1">
      <alignment horizontal="right"/>
    </xf>
    <xf numFmtId="0" fontId="3" fillId="0" borderId="0" xfId="0" applyFont="1" applyAlignment="1">
      <alignment horizontal="center"/>
    </xf>
    <xf numFmtId="166" fontId="3" fillId="0" borderId="0" xfId="0" applyNumberFormat="1" applyFont="1"/>
    <xf numFmtId="167" fontId="3" fillId="0" borderId="0" xfId="0" applyNumberFormat="1" applyFont="1"/>
    <xf numFmtId="168" fontId="3" fillId="0" borderId="0" xfId="0" applyNumberFormat="1" applyFont="1" applyAlignment="1">
      <alignment horizontal="right"/>
    </xf>
    <xf numFmtId="169" fontId="3" fillId="0" borderId="0" xfId="0" applyNumberFormat="1" applyFont="1" applyAlignment="1">
      <alignment horizontal="right"/>
    </xf>
    <xf numFmtId="3" fontId="3" fillId="0" borderId="0" xfId="0" applyNumberFormat="1" applyFont="1" applyAlignment="1">
      <alignment horizontal="right"/>
    </xf>
    <xf numFmtId="169" fontId="10" fillId="0" borderId="0" xfId="0" applyNumberFormat="1" applyFont="1" applyAlignment="1">
      <alignment horizontal="right"/>
    </xf>
    <xf numFmtId="4" fontId="3" fillId="0" borderId="0" xfId="0" applyNumberFormat="1" applyFont="1" applyAlignment="1">
      <alignment horizontal="right"/>
    </xf>
    <xf numFmtId="0" fontId="5" fillId="0" borderId="1" xfId="0" applyFont="1" applyBorder="1" applyAlignment="1">
      <alignment horizontal="center"/>
    </xf>
    <xf numFmtId="0" fontId="5" fillId="0" borderId="1" xfId="0" applyFont="1" applyBorder="1" applyAlignment="1">
      <alignment horizontal="left"/>
    </xf>
    <xf numFmtId="0" fontId="5" fillId="0" borderId="1" xfId="0" applyFont="1" applyBorder="1"/>
    <xf numFmtId="166" fontId="3" fillId="0" borderId="0" xfId="0" applyNumberFormat="1" applyFont="1" applyAlignment="1">
      <alignment horizontal="center"/>
    </xf>
    <xf numFmtId="10" fontId="3" fillId="0" borderId="0" xfId="0" applyNumberFormat="1" applyFont="1" applyAlignment="1">
      <alignment horizontal="center"/>
    </xf>
    <xf numFmtId="0" fontId="9" fillId="0" borderId="0" xfId="0" applyFont="1" applyAlignment="1">
      <alignment horizontal="center"/>
    </xf>
    <xf numFmtId="166" fontId="9" fillId="0" borderId="0" xfId="0" applyNumberFormat="1" applyFont="1" applyAlignment="1">
      <alignment horizontal="center"/>
    </xf>
    <xf numFmtId="10" fontId="9" fillId="0" borderId="0" xfId="0" applyNumberFormat="1" applyFont="1" applyAlignment="1">
      <alignment horizontal="center"/>
    </xf>
    <xf numFmtId="0" fontId="3" fillId="0" borderId="2" xfId="0" applyFont="1" applyBorder="1" applyAlignment="1">
      <alignment horizontal="center"/>
    </xf>
    <xf numFmtId="166" fontId="3" fillId="0" borderId="2" xfId="0" applyNumberFormat="1" applyFont="1" applyBorder="1" applyAlignment="1">
      <alignment horizontal="center"/>
    </xf>
    <xf numFmtId="10" fontId="3" fillId="0" borderId="2" xfId="0" applyNumberFormat="1" applyFont="1" applyBorder="1" applyAlignment="1">
      <alignment horizontal="center"/>
    </xf>
    <xf numFmtId="0" fontId="3" fillId="0" borderId="2" xfId="0" applyFont="1" applyBorder="1"/>
    <xf numFmtId="0" fontId="5" fillId="0" borderId="0" xfId="0" applyFont="1" applyAlignment="1">
      <alignment horizontal="left"/>
    </xf>
    <xf numFmtId="0" fontId="3" fillId="0" borderId="2" xfId="0" applyFont="1" applyBorder="1" applyAlignment="1">
      <alignment horizontal="left"/>
    </xf>
    <xf numFmtId="0" fontId="11" fillId="0" borderId="0" xfId="0" applyFont="1" applyAlignment="1">
      <alignment horizontal="center"/>
    </xf>
    <xf numFmtId="170" fontId="3" fillId="0" borderId="0" xfId="0" applyNumberFormat="1" applyFont="1"/>
    <xf numFmtId="0" fontId="5" fillId="0" borderId="2" xfId="0" applyFont="1" applyBorder="1" applyAlignment="1">
      <alignment horizontal="center"/>
    </xf>
    <xf numFmtId="0" fontId="5" fillId="0" borderId="2" xfId="0" applyFont="1" applyBorder="1" applyAlignment="1">
      <alignment horizontal="left"/>
    </xf>
    <xf numFmtId="0" fontId="5" fillId="0" borderId="2" xfId="0" applyFont="1" applyBorder="1"/>
    <xf numFmtId="0" fontId="5" fillId="0" borderId="0" xfId="0" applyFont="1" applyAlignment="1">
      <alignment horizontal="center"/>
    </xf>
    <xf numFmtId="165" fontId="3" fillId="0" borderId="0" xfId="0" applyNumberFormat="1" applyFont="1" applyAlignment="1">
      <alignment horizontal="center"/>
    </xf>
    <xf numFmtId="2" fontId="9" fillId="0" borderId="0" xfId="0" applyNumberFormat="1" applyFont="1" applyAlignment="1">
      <alignment horizontal="right"/>
    </xf>
    <xf numFmtId="167" fontId="9" fillId="0" borderId="0" xfId="0" applyNumberFormat="1" applyFont="1"/>
    <xf numFmtId="165" fontId="9" fillId="0" borderId="0" xfId="0" applyNumberFormat="1" applyFont="1"/>
    <xf numFmtId="2" fontId="9" fillId="0" borderId="0" xfId="0" applyNumberFormat="1" applyFont="1"/>
    <xf numFmtId="164" fontId="9" fillId="0" borderId="0" xfId="0" applyNumberFormat="1" applyFont="1"/>
    <xf numFmtId="170" fontId="9" fillId="0" borderId="0" xfId="0" applyNumberFormat="1" applyFont="1"/>
    <xf numFmtId="169" fontId="9" fillId="0" borderId="0" xfId="0" applyNumberFormat="1" applyFont="1"/>
    <xf numFmtId="167" fontId="9" fillId="0" borderId="0" xfId="0" applyNumberFormat="1" applyFont="1" applyAlignment="1">
      <alignment horizontal="center"/>
    </xf>
    <xf numFmtId="167" fontId="3" fillId="0" borderId="0" xfId="0" applyNumberFormat="1" applyFont="1" applyAlignment="1">
      <alignment horizontal="center"/>
    </xf>
    <xf numFmtId="2" fontId="9" fillId="0" borderId="0" xfId="0" applyNumberFormat="1" applyFont="1" applyAlignment="1">
      <alignment horizontal="center"/>
    </xf>
    <xf numFmtId="10" fontId="9" fillId="3" borderId="0" xfId="0" applyNumberFormat="1" applyFont="1" applyFill="1" applyAlignment="1">
      <alignment horizontal="right"/>
    </xf>
    <xf numFmtId="0" fontId="3" fillId="4" borderId="0" xfId="0" applyFont="1" applyFill="1"/>
    <xf numFmtId="167" fontId="9" fillId="4" borderId="0" xfId="0" applyNumberFormat="1" applyFont="1" applyFill="1" applyAlignment="1">
      <alignment horizontal="center"/>
    </xf>
    <xf numFmtId="0" fontId="3" fillId="4" borderId="0" xfId="0" applyFont="1" applyFill="1" applyAlignment="1">
      <alignment horizontal="center"/>
    </xf>
    <xf numFmtId="0" fontId="10" fillId="5" borderId="0" xfId="0" applyFont="1" applyFill="1"/>
    <xf numFmtId="0" fontId="3" fillId="5" borderId="0" xfId="0" applyFont="1" applyFill="1" applyAlignment="1">
      <alignment horizontal="center"/>
    </xf>
    <xf numFmtId="0" fontId="3" fillId="0" borderId="3" xfId="0" applyFont="1" applyBorder="1" applyAlignment="1">
      <alignment horizontal="left"/>
    </xf>
    <xf numFmtId="0" fontId="3" fillId="0" borderId="3" xfId="0" applyFont="1" applyBorder="1"/>
    <xf numFmtId="167" fontId="9" fillId="0" borderId="3" xfId="0" applyNumberFormat="1" applyFont="1" applyBorder="1" applyAlignment="1">
      <alignment horizontal="center"/>
    </xf>
    <xf numFmtId="0" fontId="3" fillId="0" borderId="3" xfId="0" applyFont="1" applyBorder="1" applyAlignment="1">
      <alignment horizontal="center"/>
    </xf>
    <xf numFmtId="167" fontId="3" fillId="0" borderId="3" xfId="0" applyNumberFormat="1" applyFont="1" applyBorder="1" applyAlignment="1">
      <alignment horizontal="center"/>
    </xf>
    <xf numFmtId="0" fontId="11" fillId="0" borderId="0" xfId="0" applyFont="1"/>
    <xf numFmtId="167" fontId="11" fillId="0" borderId="0" xfId="0" applyNumberFormat="1" applyFont="1" applyAlignment="1">
      <alignment horizontal="center"/>
    </xf>
    <xf numFmtId="1" fontId="11" fillId="0" borderId="0" xfId="0" applyNumberFormat="1" applyFont="1" applyAlignment="1">
      <alignment horizontal="center"/>
    </xf>
    <xf numFmtId="0" fontId="5" fillId="0" borderId="4" xfId="0" applyFont="1" applyBorder="1" applyAlignment="1">
      <alignment horizontal="center"/>
    </xf>
    <xf numFmtId="2" fontId="11" fillId="0" borderId="0" xfId="0" applyNumberFormat="1" applyFont="1" applyAlignment="1">
      <alignment horizontal="center"/>
    </xf>
    <xf numFmtId="0" fontId="11" fillId="0" borderId="5" xfId="0" applyFont="1" applyBorder="1" applyAlignment="1">
      <alignment horizontal="center"/>
    </xf>
    <xf numFmtId="170" fontId="9" fillId="0" borderId="0" xfId="0" applyNumberFormat="1" applyFont="1" applyAlignment="1">
      <alignment horizontal="center"/>
    </xf>
    <xf numFmtId="49" fontId="9" fillId="0" borderId="0" xfId="0" applyNumberFormat="1" applyFont="1" applyAlignment="1">
      <alignment horizontal="center"/>
    </xf>
    <xf numFmtId="167" fontId="9" fillId="0" borderId="0" xfId="0" applyNumberFormat="1" applyFont="1" applyAlignment="1">
      <alignment horizontal="left"/>
    </xf>
    <xf numFmtId="0" fontId="10" fillId="0" borderId="0" xfId="0" applyFont="1" applyAlignment="1">
      <alignment horizontal="center"/>
    </xf>
    <xf numFmtId="0" fontId="3" fillId="0" borderId="4" xfId="0" applyFont="1" applyBorder="1" applyAlignment="1">
      <alignment horizontal="center"/>
    </xf>
    <xf numFmtId="0" fontId="9" fillId="0" borderId="5" xfId="0" applyFont="1" applyBorder="1" applyAlignment="1">
      <alignment horizontal="center"/>
    </xf>
    <xf numFmtId="0" fontId="11" fillId="4" borderId="0" xfId="0" applyFont="1" applyFill="1" applyAlignment="1">
      <alignment horizontal="center"/>
    </xf>
    <xf numFmtId="167" fontId="11" fillId="4" borderId="0" xfId="0" applyNumberFormat="1" applyFont="1" applyFill="1" applyAlignment="1">
      <alignment horizontal="center"/>
    </xf>
    <xf numFmtId="1" fontId="11" fillId="4" borderId="0" xfId="0" applyNumberFormat="1" applyFont="1" applyFill="1" applyAlignment="1">
      <alignment horizontal="center"/>
    </xf>
    <xf numFmtId="0" fontId="11" fillId="5" borderId="4" xfId="0" applyFont="1" applyFill="1" applyBorder="1" applyAlignment="1">
      <alignment horizontal="center"/>
    </xf>
    <xf numFmtId="167" fontId="11" fillId="5" borderId="0" xfId="0" applyNumberFormat="1" applyFont="1" applyFill="1" applyAlignment="1">
      <alignment horizontal="center"/>
    </xf>
    <xf numFmtId="2" fontId="11" fillId="5" borderId="0" xfId="0" applyNumberFormat="1" applyFont="1" applyFill="1" applyAlignment="1">
      <alignment horizontal="center"/>
    </xf>
    <xf numFmtId="0" fontId="11" fillId="5" borderId="6" xfId="0" applyFont="1" applyFill="1" applyBorder="1" applyAlignment="1">
      <alignment horizontal="center"/>
    </xf>
    <xf numFmtId="2" fontId="11" fillId="5" borderId="5" xfId="0" applyNumberFormat="1" applyFont="1" applyFill="1" applyBorder="1" applyAlignment="1">
      <alignment horizontal="center"/>
    </xf>
    <xf numFmtId="1" fontId="11" fillId="6" borderId="0" xfId="0" applyNumberFormat="1" applyFont="1" applyFill="1" applyAlignment="1">
      <alignment horizontal="center"/>
    </xf>
    <xf numFmtId="0" fontId="11" fillId="6" borderId="0" xfId="0" applyFont="1" applyFill="1" applyAlignment="1">
      <alignment horizontal="center"/>
    </xf>
    <xf numFmtId="167" fontId="11" fillId="6" borderId="0" xfId="0" applyNumberFormat="1" applyFont="1" applyFill="1" applyAlignment="1">
      <alignment horizontal="center"/>
    </xf>
    <xf numFmtId="167" fontId="3" fillId="0" borderId="7" xfId="0" applyNumberFormat="1" applyFont="1" applyBorder="1" applyAlignment="1">
      <alignment horizontal="center"/>
    </xf>
    <xf numFmtId="166" fontId="3" fillId="0" borderId="3" xfId="0" applyNumberFormat="1" applyFont="1" applyBorder="1" applyAlignment="1">
      <alignment horizontal="center"/>
    </xf>
    <xf numFmtId="2" fontId="9" fillId="0" borderId="3" xfId="0" applyNumberFormat="1" applyFont="1" applyBorder="1" applyAlignment="1">
      <alignment horizontal="center"/>
    </xf>
    <xf numFmtId="2" fontId="9" fillId="7" borderId="3" xfId="0" applyNumberFormat="1" applyFont="1" applyFill="1" applyBorder="1" applyAlignment="1">
      <alignment horizontal="center"/>
    </xf>
    <xf numFmtId="10" fontId="9" fillId="3" borderId="5" xfId="0" applyNumberFormat="1" applyFont="1" applyFill="1" applyBorder="1" applyAlignment="1">
      <alignment horizontal="center"/>
    </xf>
    <xf numFmtId="2" fontId="9" fillId="0" borderId="8" xfId="0" applyNumberFormat="1" applyFont="1" applyBorder="1" applyAlignment="1">
      <alignment horizontal="center"/>
    </xf>
    <xf numFmtId="167" fontId="3" fillId="0" borderId="4" xfId="0" applyNumberFormat="1" applyFont="1" applyBorder="1" applyAlignment="1">
      <alignment horizontal="center"/>
    </xf>
    <xf numFmtId="2" fontId="9" fillId="7" borderId="0" xfId="0" applyNumberFormat="1" applyFont="1" applyFill="1" applyAlignment="1">
      <alignment horizontal="center"/>
    </xf>
    <xf numFmtId="2" fontId="9" fillId="0" borderId="5" xfId="0" applyNumberFormat="1" applyFont="1" applyBorder="1" applyAlignment="1">
      <alignment horizontal="center"/>
    </xf>
    <xf numFmtId="167" fontId="9" fillId="0" borderId="2" xfId="0" applyNumberFormat="1" applyFont="1" applyBorder="1" applyAlignment="1">
      <alignment horizontal="center"/>
    </xf>
    <xf numFmtId="167" fontId="3" fillId="0" borderId="2" xfId="0" applyNumberFormat="1" applyFont="1" applyBorder="1" applyAlignment="1">
      <alignment horizontal="center"/>
    </xf>
    <xf numFmtId="167" fontId="3" fillId="0" borderId="9" xfId="0" applyNumberFormat="1" applyFont="1" applyBorder="1" applyAlignment="1">
      <alignment horizontal="center"/>
    </xf>
    <xf numFmtId="2" fontId="9" fillId="0" borderId="2" xfId="0" applyNumberFormat="1" applyFont="1" applyBorder="1" applyAlignment="1">
      <alignment horizontal="center"/>
    </xf>
    <xf numFmtId="2" fontId="9" fillId="7" borderId="2" xfId="0" applyNumberFormat="1" applyFont="1" applyFill="1" applyBorder="1" applyAlignment="1">
      <alignment horizontal="center"/>
    </xf>
    <xf numFmtId="10" fontId="9" fillId="3" borderId="6" xfId="0" applyNumberFormat="1" applyFont="1" applyFill="1" applyBorder="1" applyAlignment="1">
      <alignment horizontal="center"/>
    </xf>
    <xf numFmtId="2" fontId="9" fillId="0" borderId="6" xfId="0" applyNumberFormat="1" applyFont="1" applyBorder="1" applyAlignment="1">
      <alignment horizontal="center"/>
    </xf>
    <xf numFmtId="10" fontId="9" fillId="3" borderId="0" xfId="0" applyNumberFormat="1" applyFont="1" applyFill="1" applyAlignment="1">
      <alignment horizontal="center"/>
    </xf>
    <xf numFmtId="2" fontId="12" fillId="0" borderId="0" xfId="0" applyNumberFormat="1" applyFont="1" applyAlignment="1">
      <alignment horizontal="center"/>
    </xf>
    <xf numFmtId="0" fontId="13" fillId="0" borderId="0" xfId="0" applyFont="1" applyAlignment="1">
      <alignment horizontal="center"/>
    </xf>
    <xf numFmtId="0" fontId="12" fillId="0" borderId="5" xfId="0" applyFont="1" applyBorder="1" applyAlignment="1">
      <alignment horizontal="center"/>
    </xf>
    <xf numFmtId="0" fontId="12" fillId="0" borderId="0" xfId="0" applyFont="1" applyAlignment="1">
      <alignment horizontal="center"/>
    </xf>
    <xf numFmtId="2" fontId="11" fillId="5" borderId="2" xfId="0" applyNumberFormat="1" applyFont="1" applyFill="1" applyBorder="1" applyAlignment="1">
      <alignment horizontal="center"/>
    </xf>
    <xf numFmtId="0" fontId="11" fillId="5" borderId="0" xfId="0" applyFont="1" applyFill="1" applyAlignment="1">
      <alignment horizontal="center"/>
    </xf>
    <xf numFmtId="10" fontId="9" fillId="3" borderId="3" xfId="0" applyNumberFormat="1" applyFont="1" applyFill="1" applyBorder="1" applyAlignment="1">
      <alignment horizontal="center"/>
    </xf>
    <xf numFmtId="0" fontId="11" fillId="0" borderId="4" xfId="0" applyFont="1" applyBorder="1" applyAlignment="1">
      <alignment horizontal="center"/>
    </xf>
    <xf numFmtId="0" fontId="9" fillId="0" borderId="4" xfId="0" applyFont="1" applyBorder="1" applyAlignment="1">
      <alignment horizontal="center"/>
    </xf>
    <xf numFmtId="0" fontId="11" fillId="0" borderId="2" xfId="0" applyFont="1" applyBorder="1" applyAlignment="1">
      <alignment horizontal="center"/>
    </xf>
    <xf numFmtId="0" fontId="11" fillId="4" borderId="2" xfId="0" applyFont="1" applyFill="1" applyBorder="1" applyAlignment="1">
      <alignment horizontal="center"/>
    </xf>
    <xf numFmtId="167" fontId="11" fillId="4" borderId="2" xfId="0" applyNumberFormat="1" applyFont="1" applyFill="1" applyBorder="1" applyAlignment="1">
      <alignment horizontal="center"/>
    </xf>
    <xf numFmtId="1" fontId="11" fillId="4" borderId="2" xfId="0" applyNumberFormat="1" applyFont="1" applyFill="1" applyBorder="1" applyAlignment="1">
      <alignment horizontal="center"/>
    </xf>
    <xf numFmtId="0" fontId="11" fillId="5" borderId="2" xfId="0" applyFont="1" applyFill="1" applyBorder="1" applyAlignment="1">
      <alignment horizontal="center"/>
    </xf>
    <xf numFmtId="167" fontId="11" fillId="5" borderId="2" xfId="0" applyNumberFormat="1" applyFont="1" applyFill="1" applyBorder="1" applyAlignment="1">
      <alignment horizontal="center"/>
    </xf>
    <xf numFmtId="0" fontId="9" fillId="0" borderId="3" xfId="0" applyFont="1" applyBorder="1"/>
    <xf numFmtId="0" fontId="9" fillId="0" borderId="3" xfId="0" applyFont="1" applyBorder="1" applyAlignment="1">
      <alignment horizontal="center"/>
    </xf>
    <xf numFmtId="167" fontId="9" fillId="0" borderId="7" xfId="0" applyNumberFormat="1" applyFont="1" applyBorder="1" applyAlignment="1">
      <alignment horizontal="center"/>
    </xf>
    <xf numFmtId="166" fontId="9" fillId="0" borderId="3" xfId="0" applyNumberFormat="1" applyFont="1" applyBorder="1" applyAlignment="1">
      <alignment horizontal="center"/>
    </xf>
    <xf numFmtId="2" fontId="9" fillId="8" borderId="3" xfId="0" applyNumberFormat="1" applyFont="1" applyFill="1" applyBorder="1" applyAlignment="1">
      <alignment horizontal="center"/>
    </xf>
    <xf numFmtId="167" fontId="9" fillId="0" borderId="4" xfId="0" applyNumberFormat="1" applyFont="1" applyBorder="1" applyAlignment="1">
      <alignment horizontal="center"/>
    </xf>
    <xf numFmtId="2" fontId="9" fillId="9" borderId="0" xfId="0" applyNumberFormat="1" applyFont="1" applyFill="1" applyAlignment="1">
      <alignment horizontal="center"/>
    </xf>
    <xf numFmtId="2" fontId="9" fillId="10" borderId="0" xfId="0" applyNumberFormat="1" applyFont="1" applyFill="1" applyAlignment="1">
      <alignment horizontal="center"/>
    </xf>
    <xf numFmtId="2" fontId="9" fillId="11" borderId="0" xfId="0" applyNumberFormat="1" applyFont="1" applyFill="1" applyAlignment="1">
      <alignment horizontal="center"/>
    </xf>
    <xf numFmtId="0" fontId="9" fillId="0" borderId="2" xfId="0" applyFont="1" applyBorder="1"/>
    <xf numFmtId="0" fontId="9" fillId="0" borderId="2" xfId="0" applyFont="1" applyBorder="1" applyAlignment="1">
      <alignment horizontal="center"/>
    </xf>
    <xf numFmtId="167" fontId="9" fillId="0" borderId="9" xfId="0" applyNumberFormat="1" applyFont="1" applyBorder="1" applyAlignment="1">
      <alignment horizontal="center"/>
    </xf>
    <xf numFmtId="166" fontId="9" fillId="0" borderId="2" xfId="0" applyNumberFormat="1" applyFont="1" applyBorder="1" applyAlignment="1">
      <alignment horizontal="center"/>
    </xf>
    <xf numFmtId="2" fontId="9" fillId="12" borderId="2" xfId="0" applyNumberFormat="1" applyFont="1" applyFill="1" applyBorder="1" applyAlignment="1">
      <alignment horizontal="center"/>
    </xf>
    <xf numFmtId="10" fontId="9" fillId="3" borderId="2" xfId="0" applyNumberFormat="1" applyFont="1" applyFill="1" applyBorder="1" applyAlignment="1">
      <alignment horizontal="center"/>
    </xf>
    <xf numFmtId="2" fontId="9" fillId="13" borderId="0" xfId="0" applyNumberFormat="1" applyFont="1" applyFill="1" applyAlignment="1">
      <alignment horizontal="center"/>
    </xf>
    <xf numFmtId="2" fontId="9" fillId="14" borderId="0" xfId="0" applyNumberFormat="1" applyFont="1" applyFill="1" applyAlignment="1">
      <alignment horizontal="center"/>
    </xf>
    <xf numFmtId="2" fontId="9" fillId="15" borderId="0" xfId="0" applyNumberFormat="1" applyFont="1" applyFill="1" applyAlignment="1">
      <alignment horizontal="center"/>
    </xf>
    <xf numFmtId="2" fontId="9" fillId="16" borderId="0" xfId="0" applyNumberFormat="1" applyFont="1" applyFill="1" applyAlignment="1">
      <alignment horizontal="center"/>
    </xf>
    <xf numFmtId="2" fontId="9" fillId="8" borderId="0" xfId="0" applyNumberFormat="1" applyFont="1" applyFill="1" applyAlignment="1">
      <alignment horizontal="center"/>
    </xf>
    <xf numFmtId="10" fontId="9" fillId="17" borderId="2" xfId="0" applyNumberFormat="1" applyFont="1" applyFill="1" applyBorder="1" applyAlignment="1">
      <alignment horizontal="center"/>
    </xf>
    <xf numFmtId="2" fontId="9" fillId="18" borderId="3" xfId="0" applyNumberFormat="1" applyFont="1" applyFill="1" applyBorder="1" applyAlignment="1">
      <alignment horizontal="center"/>
    </xf>
    <xf numFmtId="10" fontId="9" fillId="0" borderId="0" xfId="0" applyNumberFormat="1" applyFont="1"/>
    <xf numFmtId="2" fontId="9" fillId="19" borderId="0" xfId="0" applyNumberFormat="1" applyFont="1" applyFill="1" applyAlignment="1">
      <alignment horizontal="center"/>
    </xf>
    <xf numFmtId="2" fontId="9" fillId="20" borderId="0" xfId="0" applyNumberFormat="1" applyFont="1" applyFill="1" applyAlignment="1">
      <alignment horizontal="center"/>
    </xf>
    <xf numFmtId="2" fontId="9" fillId="21" borderId="0" xfId="0" applyNumberFormat="1" applyFont="1" applyFill="1" applyAlignment="1">
      <alignment horizontal="center"/>
    </xf>
    <xf numFmtId="167" fontId="9" fillId="0" borderId="5" xfId="0" applyNumberFormat="1" applyFont="1" applyBorder="1" applyAlignment="1">
      <alignment horizontal="center"/>
    </xf>
    <xf numFmtId="10" fontId="9" fillId="3" borderId="0" xfId="0" applyNumberFormat="1" applyFont="1" applyFill="1"/>
    <xf numFmtId="2" fontId="9" fillId="22" borderId="0" xfId="0" applyNumberFormat="1" applyFont="1" applyFill="1" applyAlignment="1">
      <alignment horizontal="center"/>
    </xf>
    <xf numFmtId="2" fontId="9" fillId="23" borderId="0" xfId="0" applyNumberFormat="1" applyFont="1" applyFill="1" applyAlignment="1">
      <alignment horizontal="center"/>
    </xf>
    <xf numFmtId="2" fontId="9" fillId="24" borderId="2" xfId="0" applyNumberFormat="1" applyFont="1" applyFill="1" applyBorder="1" applyAlignment="1">
      <alignment horizontal="center"/>
    </xf>
    <xf numFmtId="10" fontId="9" fillId="25" borderId="2" xfId="0" applyNumberFormat="1" applyFont="1" applyFill="1" applyBorder="1" applyAlignment="1">
      <alignment horizontal="center"/>
    </xf>
    <xf numFmtId="2" fontId="9" fillId="26" borderId="0" xfId="0" applyNumberFormat="1" applyFont="1" applyFill="1" applyAlignment="1">
      <alignment horizontal="center"/>
    </xf>
    <xf numFmtId="2" fontId="9" fillId="27" borderId="0" xfId="0" applyNumberFormat="1" applyFont="1" applyFill="1" applyAlignment="1">
      <alignment horizontal="center"/>
    </xf>
    <xf numFmtId="2" fontId="9" fillId="28" borderId="0" xfId="0" applyNumberFormat="1" applyFont="1" applyFill="1" applyAlignment="1">
      <alignment horizontal="center"/>
    </xf>
    <xf numFmtId="2" fontId="9" fillId="29" borderId="0" xfId="0" applyNumberFormat="1" applyFont="1" applyFill="1" applyAlignment="1">
      <alignment horizontal="center"/>
    </xf>
    <xf numFmtId="2" fontId="9" fillId="30" borderId="0" xfId="0" applyNumberFormat="1" applyFont="1" applyFill="1" applyAlignment="1">
      <alignment horizontal="center"/>
    </xf>
    <xf numFmtId="2" fontId="9" fillId="31" borderId="0" xfId="0" applyNumberFormat="1" applyFont="1" applyFill="1" applyAlignment="1">
      <alignment horizontal="center"/>
    </xf>
    <xf numFmtId="166" fontId="9" fillId="0" borderId="0" xfId="0" applyNumberFormat="1" applyFont="1"/>
    <xf numFmtId="167" fontId="9" fillId="0" borderId="3" xfId="0" applyNumberFormat="1" applyFont="1" applyBorder="1"/>
    <xf numFmtId="2" fontId="9" fillId="11" borderId="3" xfId="0" applyNumberFormat="1" applyFont="1" applyFill="1" applyBorder="1" applyAlignment="1">
      <alignment horizontal="center"/>
    </xf>
    <xf numFmtId="2" fontId="9" fillId="32" borderId="0" xfId="0" applyNumberFormat="1" applyFont="1" applyFill="1" applyAlignment="1">
      <alignment horizontal="center"/>
    </xf>
    <xf numFmtId="2" fontId="9" fillId="33" borderId="0" xfId="0" applyNumberFormat="1" applyFont="1" applyFill="1" applyAlignment="1">
      <alignment horizontal="center"/>
    </xf>
    <xf numFmtId="10" fontId="9" fillId="34" borderId="0" xfId="0" applyNumberFormat="1" applyFont="1" applyFill="1" applyAlignment="1">
      <alignment horizontal="center"/>
    </xf>
    <xf numFmtId="2" fontId="9" fillId="35" borderId="0" xfId="0" applyNumberFormat="1" applyFont="1" applyFill="1" applyAlignment="1">
      <alignment horizontal="center"/>
    </xf>
    <xf numFmtId="10" fontId="9" fillId="36" borderId="0" xfId="0" applyNumberFormat="1" applyFont="1" applyFill="1" applyAlignment="1">
      <alignment horizontal="center"/>
    </xf>
    <xf numFmtId="2" fontId="9" fillId="37" borderId="0" xfId="0" applyNumberFormat="1" applyFont="1" applyFill="1" applyAlignment="1">
      <alignment horizontal="center"/>
    </xf>
    <xf numFmtId="10" fontId="9" fillId="38" borderId="0" xfId="0" applyNumberFormat="1" applyFont="1" applyFill="1" applyAlignment="1">
      <alignment horizontal="center"/>
    </xf>
    <xf numFmtId="2" fontId="9" fillId="39" borderId="0" xfId="0" applyNumberFormat="1" applyFont="1" applyFill="1" applyAlignment="1">
      <alignment horizontal="center"/>
    </xf>
    <xf numFmtId="10" fontId="9" fillId="40" borderId="0" xfId="0" applyNumberFormat="1" applyFont="1" applyFill="1" applyAlignment="1">
      <alignment horizontal="center"/>
    </xf>
    <xf numFmtId="10" fontId="9" fillId="41" borderId="0" xfId="0" applyNumberFormat="1" applyFont="1" applyFill="1" applyAlignment="1">
      <alignment horizontal="center"/>
    </xf>
    <xf numFmtId="2" fontId="9" fillId="24" borderId="0" xfId="0" applyNumberFormat="1" applyFont="1" applyFill="1" applyAlignment="1">
      <alignment horizontal="center"/>
    </xf>
    <xf numFmtId="10" fontId="9" fillId="42" borderId="0" xfId="0" applyNumberFormat="1" applyFont="1" applyFill="1" applyAlignment="1">
      <alignment horizontal="center"/>
    </xf>
    <xf numFmtId="10" fontId="9" fillId="43" borderId="0" xfId="0" applyNumberFormat="1" applyFont="1" applyFill="1" applyAlignment="1">
      <alignment horizontal="center"/>
    </xf>
    <xf numFmtId="167" fontId="9" fillId="0" borderId="2" xfId="0" applyNumberFormat="1" applyFont="1" applyBorder="1"/>
    <xf numFmtId="2" fontId="9" fillId="28" borderId="2" xfId="0" applyNumberFormat="1" applyFont="1" applyFill="1" applyBorder="1" applyAlignment="1">
      <alignment horizontal="center"/>
    </xf>
    <xf numFmtId="10" fontId="9" fillId="44" borderId="2" xfId="0" applyNumberFormat="1" applyFont="1" applyFill="1" applyBorder="1" applyAlignment="1">
      <alignment horizontal="center"/>
    </xf>
    <xf numFmtId="10" fontId="9" fillId="45" borderId="0" xfId="0" applyNumberFormat="1" applyFont="1" applyFill="1" applyAlignment="1">
      <alignment horizontal="center"/>
    </xf>
    <xf numFmtId="2" fontId="9" fillId="46" borderId="0" xfId="0" applyNumberFormat="1" applyFont="1" applyFill="1" applyAlignment="1">
      <alignment horizontal="center"/>
    </xf>
    <xf numFmtId="10" fontId="9" fillId="47" borderId="0" xfId="0" applyNumberFormat="1" applyFont="1" applyFill="1" applyAlignment="1">
      <alignment horizontal="center"/>
    </xf>
    <xf numFmtId="2" fontId="9" fillId="48" borderId="0" xfId="0" applyNumberFormat="1" applyFont="1" applyFill="1" applyAlignment="1">
      <alignment horizontal="center"/>
    </xf>
    <xf numFmtId="10" fontId="9" fillId="49" borderId="0" xfId="0" applyNumberFormat="1" applyFont="1" applyFill="1" applyAlignment="1">
      <alignment horizontal="center"/>
    </xf>
    <xf numFmtId="2" fontId="9" fillId="50" borderId="0" xfId="0" applyNumberFormat="1" applyFont="1" applyFill="1" applyAlignment="1">
      <alignment horizontal="center"/>
    </xf>
    <xf numFmtId="10" fontId="9" fillId="51" borderId="0" xfId="0" applyNumberFormat="1" applyFont="1" applyFill="1" applyAlignment="1">
      <alignment horizontal="center"/>
    </xf>
    <xf numFmtId="2" fontId="9" fillId="52" borderId="0" xfId="0" applyNumberFormat="1" applyFont="1" applyFill="1" applyAlignment="1">
      <alignment horizontal="center"/>
    </xf>
    <xf numFmtId="2" fontId="9" fillId="53" borderId="0" xfId="0" applyNumberFormat="1" applyFont="1" applyFill="1" applyAlignment="1">
      <alignment horizontal="center"/>
    </xf>
    <xf numFmtId="10" fontId="9" fillId="54" borderId="0" xfId="0" applyNumberFormat="1" applyFont="1" applyFill="1" applyAlignment="1">
      <alignment horizontal="center"/>
    </xf>
    <xf numFmtId="2" fontId="9" fillId="55" borderId="0" xfId="0" applyNumberFormat="1" applyFont="1" applyFill="1" applyAlignment="1">
      <alignment horizontal="center"/>
    </xf>
    <xf numFmtId="10" fontId="9" fillId="56" borderId="0" xfId="0" applyNumberFormat="1" applyFont="1" applyFill="1" applyAlignment="1">
      <alignment horizontal="center"/>
    </xf>
    <xf numFmtId="10" fontId="9" fillId="57" borderId="0" xfId="0" applyNumberFormat="1" applyFont="1" applyFill="1" applyAlignment="1">
      <alignment horizontal="center"/>
    </xf>
    <xf numFmtId="2" fontId="9" fillId="58" borderId="0" xfId="0" applyNumberFormat="1" applyFont="1" applyFill="1" applyAlignment="1">
      <alignment horizontal="center"/>
    </xf>
    <xf numFmtId="10" fontId="9" fillId="59" borderId="0" xfId="0" applyNumberFormat="1" applyFont="1" applyFill="1" applyAlignment="1">
      <alignment horizontal="center"/>
    </xf>
    <xf numFmtId="10" fontId="9" fillId="60" borderId="0" xfId="0" applyNumberFormat="1" applyFont="1" applyFill="1" applyAlignment="1">
      <alignment horizontal="center"/>
    </xf>
    <xf numFmtId="2" fontId="9" fillId="61" borderId="0" xfId="0" applyNumberFormat="1" applyFont="1" applyFill="1" applyAlignment="1">
      <alignment horizontal="center"/>
    </xf>
    <xf numFmtId="10" fontId="9" fillId="62" borderId="0" xfId="0" applyNumberFormat="1" applyFont="1" applyFill="1" applyAlignment="1">
      <alignment horizontal="center"/>
    </xf>
    <xf numFmtId="10" fontId="9" fillId="63" borderId="0" xfId="0" applyNumberFormat="1" applyFont="1" applyFill="1" applyAlignment="1">
      <alignment horizontal="center"/>
    </xf>
    <xf numFmtId="10" fontId="9" fillId="64" borderId="0" xfId="0" applyNumberFormat="1" applyFont="1" applyFill="1" applyAlignment="1">
      <alignment horizontal="center"/>
    </xf>
    <xf numFmtId="10" fontId="9" fillId="65" borderId="0" xfId="0" applyNumberFormat="1" applyFont="1" applyFill="1" applyAlignment="1">
      <alignment horizontal="center"/>
    </xf>
    <xf numFmtId="2" fontId="9" fillId="66" borderId="0" xfId="0" applyNumberFormat="1" applyFont="1" applyFill="1" applyAlignment="1">
      <alignment horizontal="center"/>
    </xf>
    <xf numFmtId="10" fontId="9" fillId="67" borderId="0" xfId="0" applyNumberFormat="1" applyFont="1" applyFill="1" applyAlignment="1">
      <alignment horizontal="center"/>
    </xf>
    <xf numFmtId="10" fontId="9" fillId="68" borderId="0" xfId="0" applyNumberFormat="1" applyFont="1" applyFill="1" applyAlignment="1">
      <alignment horizontal="center"/>
    </xf>
    <xf numFmtId="2" fontId="9" fillId="37" borderId="2" xfId="0" applyNumberFormat="1" applyFont="1" applyFill="1" applyBorder="1" applyAlignment="1">
      <alignment horizontal="center"/>
    </xf>
    <xf numFmtId="10" fontId="9" fillId="67" borderId="2" xfId="0" applyNumberFormat="1" applyFont="1" applyFill="1" applyBorder="1" applyAlignment="1">
      <alignment horizontal="center"/>
    </xf>
    <xf numFmtId="10" fontId="9" fillId="69" borderId="0" xfId="0" applyNumberFormat="1" applyFont="1" applyFill="1" applyAlignment="1">
      <alignment horizontal="center"/>
    </xf>
    <xf numFmtId="2" fontId="9" fillId="70" borderId="0" xfId="0" applyNumberFormat="1" applyFont="1" applyFill="1" applyAlignment="1">
      <alignment horizontal="center"/>
    </xf>
    <xf numFmtId="10" fontId="9" fillId="71" borderId="0" xfId="0" applyNumberFormat="1" applyFont="1" applyFill="1" applyAlignment="1">
      <alignment horizontal="center"/>
    </xf>
    <xf numFmtId="10" fontId="9" fillId="72" borderId="0" xfId="0" applyNumberFormat="1" applyFont="1" applyFill="1" applyAlignment="1">
      <alignment horizontal="center"/>
    </xf>
    <xf numFmtId="10" fontId="9" fillId="73" borderId="0" xfId="0" applyNumberFormat="1" applyFont="1" applyFill="1" applyAlignment="1">
      <alignment horizontal="center"/>
    </xf>
    <xf numFmtId="2" fontId="9" fillId="74" borderId="0" xfId="0" applyNumberFormat="1" applyFont="1" applyFill="1" applyAlignment="1">
      <alignment horizontal="center"/>
    </xf>
    <xf numFmtId="2" fontId="9" fillId="75" borderId="0" xfId="0" applyNumberFormat="1" applyFont="1" applyFill="1" applyAlignment="1">
      <alignment horizontal="center"/>
    </xf>
    <xf numFmtId="10" fontId="9" fillId="76" borderId="0" xfId="0" applyNumberFormat="1" applyFont="1" applyFill="1" applyAlignment="1">
      <alignment horizontal="center"/>
    </xf>
    <xf numFmtId="2" fontId="9" fillId="77" borderId="0" xfId="0" applyNumberFormat="1" applyFont="1" applyFill="1" applyAlignment="1">
      <alignment horizontal="center"/>
    </xf>
    <xf numFmtId="2" fontId="9" fillId="78" borderId="0" xfId="0" applyNumberFormat="1" applyFont="1" applyFill="1" applyAlignment="1">
      <alignment horizontal="center"/>
    </xf>
    <xf numFmtId="10" fontId="9" fillId="79" borderId="0" xfId="0" applyNumberFormat="1" applyFont="1" applyFill="1" applyAlignment="1">
      <alignment horizontal="center"/>
    </xf>
    <xf numFmtId="10" fontId="9" fillId="80" borderId="0" xfId="0" applyNumberFormat="1" applyFont="1" applyFill="1" applyAlignment="1">
      <alignment horizontal="center"/>
    </xf>
    <xf numFmtId="2" fontId="9" fillId="81" borderId="0" xfId="0" applyNumberFormat="1" applyFont="1" applyFill="1" applyAlignment="1">
      <alignment horizontal="center"/>
    </xf>
    <xf numFmtId="10" fontId="9" fillId="82" borderId="0" xfId="0" applyNumberFormat="1" applyFont="1" applyFill="1" applyAlignment="1">
      <alignment horizontal="center"/>
    </xf>
    <xf numFmtId="10" fontId="9" fillId="83" borderId="0" xfId="0" applyNumberFormat="1" applyFont="1" applyFill="1" applyAlignment="1">
      <alignment horizontal="center"/>
    </xf>
    <xf numFmtId="2" fontId="9" fillId="84" borderId="0" xfId="0" applyNumberFormat="1" applyFont="1" applyFill="1" applyAlignment="1">
      <alignment horizontal="center"/>
    </xf>
    <xf numFmtId="10" fontId="9" fillId="85" borderId="0" xfId="0" applyNumberFormat="1" applyFont="1" applyFill="1" applyAlignment="1">
      <alignment horizontal="center"/>
    </xf>
    <xf numFmtId="10" fontId="9" fillId="86" borderId="0" xfId="0" applyNumberFormat="1" applyFont="1" applyFill="1" applyAlignment="1">
      <alignment horizontal="center"/>
    </xf>
    <xf numFmtId="2" fontId="9" fillId="87" borderId="0" xfId="0" applyNumberFormat="1" applyFont="1" applyFill="1" applyAlignment="1">
      <alignment horizontal="center"/>
    </xf>
    <xf numFmtId="10" fontId="9" fillId="88" borderId="0" xfId="0" applyNumberFormat="1" applyFont="1" applyFill="1" applyAlignment="1">
      <alignment horizontal="center"/>
    </xf>
    <xf numFmtId="10" fontId="9" fillId="89" borderId="0" xfId="0" applyNumberFormat="1" applyFont="1" applyFill="1" applyAlignment="1">
      <alignment horizontal="center"/>
    </xf>
    <xf numFmtId="10" fontId="9" fillId="90" borderId="0" xfId="0" applyNumberFormat="1" applyFont="1" applyFill="1" applyAlignment="1">
      <alignment horizontal="center"/>
    </xf>
    <xf numFmtId="2" fontId="9" fillId="91" borderId="0" xfId="0" applyNumberFormat="1" applyFont="1" applyFill="1" applyAlignment="1">
      <alignment horizontal="center"/>
    </xf>
    <xf numFmtId="10" fontId="9" fillId="92" borderId="0" xfId="0" applyNumberFormat="1" applyFont="1" applyFill="1" applyAlignment="1">
      <alignment horizontal="center"/>
    </xf>
    <xf numFmtId="2" fontId="9" fillId="93" borderId="0" xfId="0" applyNumberFormat="1" applyFont="1" applyFill="1" applyAlignment="1">
      <alignment horizontal="center"/>
    </xf>
    <xf numFmtId="10" fontId="9" fillId="94" borderId="0" xfId="0" applyNumberFormat="1" applyFont="1" applyFill="1" applyAlignment="1">
      <alignment horizontal="center"/>
    </xf>
    <xf numFmtId="10" fontId="9" fillId="95" borderId="0" xfId="0" applyNumberFormat="1" applyFont="1" applyFill="1" applyAlignment="1">
      <alignment horizontal="center"/>
    </xf>
    <xf numFmtId="2" fontId="9" fillId="96" borderId="0" xfId="0" applyNumberFormat="1" applyFont="1" applyFill="1" applyAlignment="1">
      <alignment horizontal="center"/>
    </xf>
    <xf numFmtId="10" fontId="9" fillId="97" borderId="0" xfId="0" applyNumberFormat="1" applyFont="1" applyFill="1" applyAlignment="1">
      <alignment horizontal="center"/>
    </xf>
    <xf numFmtId="10" fontId="9" fillId="98" borderId="0" xfId="0" applyNumberFormat="1" applyFont="1" applyFill="1" applyAlignment="1">
      <alignment horizontal="center"/>
    </xf>
    <xf numFmtId="10" fontId="9" fillId="99" borderId="0" xfId="0" applyNumberFormat="1" applyFont="1" applyFill="1" applyAlignment="1">
      <alignment horizontal="center"/>
    </xf>
    <xf numFmtId="10" fontId="9" fillId="100" borderId="0" xfId="0" applyNumberFormat="1" applyFont="1" applyFill="1" applyAlignment="1">
      <alignment horizontal="center"/>
    </xf>
    <xf numFmtId="10" fontId="9" fillId="101" borderId="0" xfId="0" applyNumberFormat="1" applyFont="1" applyFill="1" applyAlignment="1">
      <alignment horizontal="center"/>
    </xf>
    <xf numFmtId="10" fontId="9" fillId="102" borderId="0" xfId="0" applyNumberFormat="1" applyFont="1" applyFill="1" applyAlignment="1">
      <alignment horizontal="center"/>
    </xf>
    <xf numFmtId="167" fontId="9" fillId="0" borderId="4" xfId="0" applyNumberFormat="1" applyFont="1" applyBorder="1"/>
    <xf numFmtId="2" fontId="9" fillId="0" borderId="5" xfId="0" applyNumberFormat="1" applyFont="1" applyBorder="1"/>
    <xf numFmtId="10" fontId="9" fillId="103" borderId="0" xfId="0" applyNumberFormat="1" applyFont="1" applyFill="1" applyAlignment="1">
      <alignment horizontal="center"/>
    </xf>
    <xf numFmtId="10" fontId="9" fillId="104" borderId="0" xfId="0" applyNumberFormat="1" applyFont="1" applyFill="1" applyAlignment="1">
      <alignment horizontal="center"/>
    </xf>
    <xf numFmtId="2" fontId="9" fillId="105" borderId="3" xfId="0" applyNumberFormat="1" applyFont="1" applyFill="1" applyBorder="1" applyAlignment="1">
      <alignment horizontal="center"/>
    </xf>
    <xf numFmtId="10" fontId="9" fillId="106" borderId="0" xfId="0" applyNumberFormat="1" applyFont="1" applyFill="1" applyAlignment="1">
      <alignment horizontal="center"/>
    </xf>
    <xf numFmtId="2" fontId="9" fillId="107" borderId="0" xfId="0" applyNumberFormat="1" applyFont="1" applyFill="1" applyAlignment="1">
      <alignment horizontal="center"/>
    </xf>
    <xf numFmtId="10" fontId="9" fillId="108" borderId="0" xfId="0" applyNumberFormat="1" applyFont="1" applyFill="1" applyAlignment="1">
      <alignment horizontal="center"/>
    </xf>
    <xf numFmtId="10" fontId="9" fillId="109" borderId="0" xfId="0" applyNumberFormat="1" applyFont="1" applyFill="1" applyAlignment="1">
      <alignment horizontal="center"/>
    </xf>
    <xf numFmtId="10" fontId="9" fillId="110" borderId="0" xfId="0" applyNumberFormat="1" applyFont="1" applyFill="1" applyAlignment="1">
      <alignment horizontal="center"/>
    </xf>
    <xf numFmtId="10" fontId="9" fillId="111" borderId="0" xfId="0" applyNumberFormat="1" applyFont="1" applyFill="1" applyAlignment="1">
      <alignment horizontal="center"/>
    </xf>
    <xf numFmtId="2" fontId="9" fillId="112" borderId="0" xfId="0" applyNumberFormat="1" applyFont="1" applyFill="1" applyAlignment="1">
      <alignment horizontal="center"/>
    </xf>
    <xf numFmtId="10" fontId="9" fillId="113" borderId="0" xfId="0" applyNumberFormat="1" applyFont="1" applyFill="1" applyAlignment="1">
      <alignment horizontal="center"/>
    </xf>
    <xf numFmtId="10" fontId="9" fillId="114" borderId="0" xfId="0" applyNumberFormat="1" applyFont="1" applyFill="1" applyAlignment="1">
      <alignment horizontal="center"/>
    </xf>
    <xf numFmtId="10" fontId="9" fillId="115" borderId="0" xfId="0" applyNumberFormat="1" applyFont="1" applyFill="1" applyAlignment="1">
      <alignment horizontal="center"/>
    </xf>
    <xf numFmtId="2" fontId="9" fillId="116" borderId="0" xfId="0" applyNumberFormat="1" applyFont="1" applyFill="1" applyAlignment="1">
      <alignment horizontal="center"/>
    </xf>
    <xf numFmtId="2" fontId="9" fillId="117" borderId="0" xfId="0" applyNumberFormat="1" applyFont="1" applyFill="1" applyAlignment="1">
      <alignment horizontal="center"/>
    </xf>
    <xf numFmtId="2" fontId="9" fillId="118" borderId="0" xfId="0" applyNumberFormat="1" applyFont="1" applyFill="1" applyAlignment="1">
      <alignment horizontal="center"/>
    </xf>
    <xf numFmtId="10" fontId="9" fillId="119" borderId="0" xfId="0" applyNumberFormat="1" applyFont="1" applyFill="1" applyAlignment="1">
      <alignment horizontal="center"/>
    </xf>
    <xf numFmtId="2" fontId="9" fillId="120" borderId="0" xfId="0" applyNumberFormat="1" applyFont="1" applyFill="1" applyAlignment="1">
      <alignment horizontal="center"/>
    </xf>
    <xf numFmtId="10" fontId="9" fillId="121" borderId="0" xfId="0" applyNumberFormat="1" applyFont="1" applyFill="1" applyAlignment="1">
      <alignment horizontal="center"/>
    </xf>
    <xf numFmtId="10" fontId="9" fillId="122" borderId="0" xfId="0" applyNumberFormat="1" applyFont="1" applyFill="1" applyAlignment="1">
      <alignment horizontal="center"/>
    </xf>
    <xf numFmtId="10" fontId="9" fillId="123" borderId="0" xfId="0" applyNumberFormat="1" applyFont="1" applyFill="1" applyAlignment="1">
      <alignment horizontal="center"/>
    </xf>
    <xf numFmtId="10" fontId="9" fillId="124" borderId="0" xfId="0" applyNumberFormat="1" applyFont="1" applyFill="1" applyAlignment="1">
      <alignment horizontal="center"/>
    </xf>
    <xf numFmtId="2" fontId="9" fillId="11" borderId="2" xfId="0" applyNumberFormat="1" applyFont="1" applyFill="1" applyBorder="1" applyAlignment="1">
      <alignment horizontal="center"/>
    </xf>
    <xf numFmtId="10" fontId="9" fillId="125" borderId="0" xfId="0" applyNumberFormat="1" applyFont="1" applyFill="1" applyAlignment="1">
      <alignment horizontal="center"/>
    </xf>
    <xf numFmtId="2" fontId="9" fillId="18" borderId="0" xfId="0" applyNumberFormat="1" applyFont="1" applyFill="1" applyAlignment="1">
      <alignment horizontal="center"/>
    </xf>
    <xf numFmtId="10" fontId="9" fillId="126" borderId="0" xfId="0" applyNumberFormat="1" applyFont="1" applyFill="1" applyAlignment="1">
      <alignment horizontal="center"/>
    </xf>
    <xf numFmtId="10" fontId="9" fillId="127" borderId="0" xfId="0" applyNumberFormat="1" applyFont="1" applyFill="1" applyAlignment="1">
      <alignment horizontal="center"/>
    </xf>
    <xf numFmtId="10" fontId="9" fillId="128" borderId="0" xfId="0" applyNumberFormat="1" applyFont="1" applyFill="1" applyAlignment="1">
      <alignment horizontal="center"/>
    </xf>
    <xf numFmtId="2" fontId="9" fillId="129" borderId="0" xfId="0" applyNumberFormat="1" applyFont="1" applyFill="1" applyAlignment="1">
      <alignment horizontal="center"/>
    </xf>
    <xf numFmtId="2" fontId="9" fillId="130" borderId="0" xfId="0" applyNumberFormat="1" applyFont="1" applyFill="1" applyAlignment="1">
      <alignment horizontal="center"/>
    </xf>
    <xf numFmtId="2" fontId="9" fillId="131" borderId="0" xfId="0" applyNumberFormat="1" applyFont="1" applyFill="1" applyAlignment="1">
      <alignment horizontal="center"/>
    </xf>
    <xf numFmtId="2" fontId="9" fillId="105" borderId="0" xfId="0" applyNumberFormat="1" applyFont="1" applyFill="1" applyAlignment="1">
      <alignment horizontal="center"/>
    </xf>
    <xf numFmtId="2" fontId="9" fillId="132" borderId="0" xfId="0" applyNumberFormat="1" applyFont="1" applyFill="1" applyAlignment="1">
      <alignment horizontal="center"/>
    </xf>
    <xf numFmtId="2" fontId="9" fillId="133" borderId="0" xfId="0" applyNumberFormat="1" applyFont="1" applyFill="1" applyAlignment="1">
      <alignment horizontal="center"/>
    </xf>
    <xf numFmtId="2" fontId="9" fillId="134" borderId="0" xfId="0" applyNumberFormat="1" applyFont="1" applyFill="1" applyAlignment="1">
      <alignment horizontal="center"/>
    </xf>
    <xf numFmtId="2" fontId="9" fillId="135" borderId="0" xfId="0" applyNumberFormat="1" applyFont="1" applyFill="1" applyAlignment="1">
      <alignment horizontal="center"/>
    </xf>
    <xf numFmtId="2" fontId="9" fillId="136" borderId="0" xfId="0" applyNumberFormat="1" applyFont="1" applyFill="1" applyAlignment="1">
      <alignment horizontal="center"/>
    </xf>
    <xf numFmtId="2" fontId="9" fillId="137" borderId="0" xfId="0" applyNumberFormat="1" applyFont="1" applyFill="1" applyAlignment="1">
      <alignment horizontal="center"/>
    </xf>
    <xf numFmtId="2" fontId="9" fillId="138" borderId="0" xfId="0" applyNumberFormat="1" applyFont="1" applyFill="1" applyAlignment="1">
      <alignment horizontal="center"/>
    </xf>
    <xf numFmtId="2" fontId="9" fillId="139" borderId="0" xfId="0" applyNumberFormat="1" applyFont="1" applyFill="1" applyAlignment="1">
      <alignment horizontal="center"/>
    </xf>
    <xf numFmtId="2" fontId="9" fillId="140" borderId="0" xfId="0" applyNumberFormat="1" applyFont="1" applyFill="1" applyAlignment="1">
      <alignment horizontal="center"/>
    </xf>
    <xf numFmtId="2" fontId="9" fillId="141" borderId="0" xfId="0" applyNumberFormat="1" applyFont="1" applyFill="1" applyAlignment="1">
      <alignment horizontal="center"/>
    </xf>
    <xf numFmtId="10" fontId="9" fillId="142" borderId="0" xfId="0" applyNumberFormat="1" applyFont="1" applyFill="1" applyAlignment="1">
      <alignment horizontal="center"/>
    </xf>
    <xf numFmtId="2" fontId="9" fillId="143" borderId="0" xfId="0" applyNumberFormat="1" applyFont="1" applyFill="1" applyAlignment="1">
      <alignment horizontal="center"/>
    </xf>
    <xf numFmtId="2" fontId="9" fillId="144" borderId="0" xfId="0" applyNumberFormat="1" applyFont="1" applyFill="1" applyAlignment="1">
      <alignment horizontal="center"/>
    </xf>
    <xf numFmtId="2" fontId="9" fillId="145" borderId="0" xfId="0" applyNumberFormat="1" applyFont="1" applyFill="1" applyAlignment="1">
      <alignment horizontal="center"/>
    </xf>
    <xf numFmtId="2" fontId="9" fillId="146" borderId="0" xfId="0" applyNumberFormat="1" applyFont="1" applyFill="1" applyAlignment="1">
      <alignment horizontal="center"/>
    </xf>
    <xf numFmtId="2" fontId="9" fillId="147" borderId="0" xfId="0" applyNumberFormat="1" applyFont="1" applyFill="1" applyAlignment="1">
      <alignment horizontal="center"/>
    </xf>
    <xf numFmtId="2" fontId="9" fillId="148" borderId="0" xfId="0" applyNumberFormat="1" applyFont="1" applyFill="1" applyAlignment="1">
      <alignment horizontal="center"/>
    </xf>
    <xf numFmtId="2" fontId="9" fillId="149" borderId="0" xfId="0" applyNumberFormat="1" applyFont="1" applyFill="1" applyAlignment="1">
      <alignment horizontal="center"/>
    </xf>
    <xf numFmtId="2" fontId="9" fillId="150" borderId="0" xfId="0" applyNumberFormat="1" applyFont="1" applyFill="1" applyAlignment="1">
      <alignment horizontal="center"/>
    </xf>
    <xf numFmtId="2" fontId="9" fillId="151" borderId="0" xfId="0" applyNumberFormat="1" applyFont="1" applyFill="1" applyAlignment="1">
      <alignment horizontal="center"/>
    </xf>
    <xf numFmtId="167" fontId="11" fillId="0" borderId="4" xfId="0" applyNumberFormat="1" applyFont="1" applyBorder="1" applyAlignment="1">
      <alignment horizontal="center"/>
    </xf>
    <xf numFmtId="2" fontId="11" fillId="0" borderId="5" xfId="0" applyNumberFormat="1" applyFont="1" applyBorder="1" applyAlignment="1">
      <alignment horizontal="center"/>
    </xf>
    <xf numFmtId="10" fontId="11" fillId="5" borderId="2" xfId="0" applyNumberFormat="1" applyFont="1" applyFill="1" applyBorder="1" applyAlignment="1">
      <alignment horizontal="center"/>
    </xf>
    <xf numFmtId="2" fontId="9" fillId="152" borderId="0" xfId="0" applyNumberFormat="1" applyFont="1" applyFill="1" applyAlignment="1">
      <alignment horizontal="center"/>
    </xf>
    <xf numFmtId="2" fontId="9" fillId="153" borderId="0" xfId="0" applyNumberFormat="1" applyFont="1" applyFill="1" applyAlignment="1">
      <alignment horizontal="center"/>
    </xf>
    <xf numFmtId="2" fontId="9" fillId="154" borderId="0" xfId="0" applyNumberFormat="1" applyFont="1" applyFill="1" applyAlignment="1">
      <alignment horizontal="center"/>
    </xf>
    <xf numFmtId="10" fontId="9" fillId="155" borderId="0" xfId="0" applyNumberFormat="1" applyFont="1" applyFill="1" applyAlignment="1">
      <alignment horizontal="center"/>
    </xf>
    <xf numFmtId="2" fontId="9" fillId="156" borderId="0" xfId="0" applyNumberFormat="1" applyFont="1" applyFill="1" applyAlignment="1">
      <alignment horizontal="center"/>
    </xf>
    <xf numFmtId="2" fontId="9" fillId="157" borderId="0" xfId="0" applyNumberFormat="1" applyFont="1" applyFill="1" applyAlignment="1">
      <alignment horizontal="center"/>
    </xf>
    <xf numFmtId="2" fontId="9" fillId="158" borderId="0" xfId="0" applyNumberFormat="1" applyFont="1" applyFill="1" applyAlignment="1">
      <alignment horizontal="center"/>
    </xf>
    <xf numFmtId="2" fontId="9" fillId="159" borderId="0" xfId="0" applyNumberFormat="1" applyFont="1" applyFill="1" applyAlignment="1">
      <alignment horizontal="center"/>
    </xf>
    <xf numFmtId="2" fontId="9" fillId="160" borderId="0" xfId="0" applyNumberFormat="1" applyFont="1" applyFill="1" applyAlignment="1">
      <alignment horizontal="center"/>
    </xf>
    <xf numFmtId="2" fontId="9" fillId="161" borderId="0" xfId="0" applyNumberFormat="1" applyFont="1" applyFill="1" applyAlignment="1">
      <alignment horizontal="center"/>
    </xf>
    <xf numFmtId="2" fontId="9" fillId="162" borderId="0" xfId="0" applyNumberFormat="1" applyFont="1" applyFill="1" applyAlignment="1">
      <alignment horizontal="center"/>
    </xf>
    <xf numFmtId="2" fontId="9" fillId="163" borderId="0" xfId="0" applyNumberFormat="1" applyFont="1" applyFill="1" applyAlignment="1">
      <alignment horizontal="center"/>
    </xf>
    <xf numFmtId="2" fontId="9" fillId="164" borderId="0" xfId="0" applyNumberFormat="1" applyFont="1" applyFill="1" applyAlignment="1">
      <alignment horizontal="center"/>
    </xf>
    <xf numFmtId="2" fontId="9" fillId="8" borderId="2" xfId="0" applyNumberFormat="1" applyFont="1" applyFill="1" applyBorder="1" applyAlignment="1">
      <alignment horizontal="center"/>
    </xf>
    <xf numFmtId="2" fontId="9" fillId="165" borderId="0" xfId="0" applyNumberFormat="1" applyFont="1" applyFill="1" applyAlignment="1">
      <alignment horizontal="center"/>
    </xf>
    <xf numFmtId="2" fontId="9" fillId="166" borderId="0" xfId="0" applyNumberFormat="1" applyFont="1" applyFill="1" applyAlignment="1">
      <alignment horizontal="center"/>
    </xf>
    <xf numFmtId="2" fontId="9" fillId="167" borderId="0" xfId="0" applyNumberFormat="1" applyFont="1" applyFill="1" applyAlignment="1">
      <alignment horizontal="center"/>
    </xf>
    <xf numFmtId="2" fontId="9" fillId="168" borderId="0" xfId="0" applyNumberFormat="1" applyFont="1" applyFill="1" applyAlignment="1">
      <alignment horizontal="center"/>
    </xf>
    <xf numFmtId="2" fontId="9" fillId="169" borderId="0" xfId="0" applyNumberFormat="1" applyFont="1" applyFill="1" applyAlignment="1">
      <alignment horizontal="center"/>
    </xf>
    <xf numFmtId="2" fontId="9" fillId="170" borderId="0" xfId="0" applyNumberFormat="1" applyFont="1" applyFill="1" applyAlignment="1">
      <alignment horizontal="center"/>
    </xf>
    <xf numFmtId="2" fontId="9" fillId="171" borderId="0" xfId="0" applyNumberFormat="1" applyFont="1" applyFill="1" applyAlignment="1">
      <alignment horizontal="center"/>
    </xf>
    <xf numFmtId="2" fontId="9" fillId="172" borderId="0" xfId="0" applyNumberFormat="1" applyFont="1" applyFill="1" applyAlignment="1">
      <alignment horizontal="center"/>
    </xf>
    <xf numFmtId="2" fontId="9" fillId="173" borderId="0" xfId="0" applyNumberFormat="1" applyFont="1" applyFill="1" applyAlignment="1">
      <alignment horizontal="center"/>
    </xf>
    <xf numFmtId="2" fontId="9" fillId="174" borderId="0" xfId="0" applyNumberFormat="1" applyFont="1" applyFill="1" applyAlignment="1">
      <alignment horizontal="center"/>
    </xf>
    <xf numFmtId="0" fontId="3" fillId="5" borderId="0" xfId="0" applyFont="1" applyFill="1"/>
    <xf numFmtId="0" fontId="10" fillId="0" borderId="0" xfId="0" applyFont="1"/>
    <xf numFmtId="0" fontId="14" fillId="0" borderId="0" xfId="0" applyFont="1"/>
    <xf numFmtId="0" fontId="11" fillId="0" borderId="10" xfId="0" applyFont="1" applyBorder="1"/>
    <xf numFmtId="0" fontId="11" fillId="0" borderId="11" xfId="0" applyFont="1" applyBorder="1" applyAlignment="1">
      <alignment horizontal="center"/>
    </xf>
    <xf numFmtId="0" fontId="11" fillId="0" borderId="11" xfId="0" applyFont="1" applyBorder="1"/>
    <xf numFmtId="0" fontId="11" fillId="0" borderId="12" xfId="0" applyFont="1" applyBorder="1"/>
    <xf numFmtId="0" fontId="15" fillId="0" borderId="12" xfId="0" applyFont="1" applyBorder="1" applyAlignment="1">
      <alignment wrapText="1"/>
    </xf>
    <xf numFmtId="0" fontId="11" fillId="0" borderId="13" xfId="0" applyFont="1" applyBorder="1"/>
    <xf numFmtId="0" fontId="9" fillId="5" borderId="0" xfId="0" applyFont="1" applyFill="1" applyAlignment="1">
      <alignment horizontal="right"/>
    </xf>
    <xf numFmtId="0" fontId="9" fillId="4" borderId="0" xfId="0" applyFont="1" applyFill="1" applyAlignment="1">
      <alignment horizontal="right"/>
    </xf>
    <xf numFmtId="167" fontId="9" fillId="5" borderId="0" xfId="0" applyNumberFormat="1" applyFont="1" applyFill="1" applyAlignment="1">
      <alignment horizontal="right"/>
    </xf>
    <xf numFmtId="167" fontId="9" fillId="5" borderId="14" xfId="0" applyNumberFormat="1" applyFont="1" applyFill="1" applyBorder="1" applyAlignment="1">
      <alignment horizontal="right"/>
    </xf>
    <xf numFmtId="0" fontId="9" fillId="4" borderId="13" xfId="0" applyFont="1" applyFill="1" applyBorder="1" applyAlignment="1">
      <alignment horizontal="right"/>
    </xf>
    <xf numFmtId="167" fontId="9" fillId="4" borderId="0" xfId="0" applyNumberFormat="1" applyFont="1" applyFill="1" applyAlignment="1">
      <alignment horizontal="right"/>
    </xf>
    <xf numFmtId="2" fontId="9" fillId="5" borderId="14" xfId="0" applyNumberFormat="1" applyFont="1" applyFill="1" applyBorder="1" applyAlignment="1">
      <alignment horizontal="right"/>
    </xf>
    <xf numFmtId="2" fontId="9" fillId="5" borderId="0" xfId="0" applyNumberFormat="1" applyFont="1" applyFill="1" applyAlignment="1">
      <alignment horizontal="right"/>
    </xf>
    <xf numFmtId="0" fontId="11" fillId="0" borderId="15" xfId="0" applyFont="1" applyBorder="1"/>
    <xf numFmtId="0" fontId="9" fillId="5" borderId="1" xfId="0" applyFont="1" applyFill="1" applyBorder="1" applyAlignment="1">
      <alignment horizontal="right"/>
    </xf>
    <xf numFmtId="0" fontId="9" fillId="0" borderId="1" xfId="0" applyFont="1" applyBorder="1" applyAlignment="1">
      <alignment horizontal="center"/>
    </xf>
    <xf numFmtId="0" fontId="9" fillId="4" borderId="1" xfId="0" applyFont="1" applyFill="1" applyBorder="1" applyAlignment="1">
      <alignment horizontal="right"/>
    </xf>
    <xf numFmtId="167" fontId="9" fillId="5" borderId="1" xfId="0" applyNumberFormat="1" applyFont="1" applyFill="1" applyBorder="1" applyAlignment="1">
      <alignment horizontal="right"/>
    </xf>
    <xf numFmtId="167" fontId="9" fillId="5" borderId="16" xfId="0" applyNumberFormat="1" applyFont="1" applyFill="1" applyBorder="1" applyAlignment="1">
      <alignment horizontal="right"/>
    </xf>
    <xf numFmtId="0" fontId="9" fillId="4" borderId="15" xfId="0" applyFont="1" applyFill="1" applyBorder="1" applyAlignment="1">
      <alignment horizontal="right"/>
    </xf>
    <xf numFmtId="167" fontId="9" fillId="4" borderId="1" xfId="0" applyNumberFormat="1" applyFont="1" applyFill="1" applyBorder="1" applyAlignment="1">
      <alignment horizontal="right"/>
    </xf>
    <xf numFmtId="2" fontId="9" fillId="5" borderId="16" xfId="0" applyNumberFormat="1" applyFont="1" applyFill="1" applyBorder="1" applyAlignment="1">
      <alignment horizontal="right"/>
    </xf>
    <xf numFmtId="0" fontId="9" fillId="4" borderId="15" xfId="0" applyFont="1" applyFill="1" applyBorder="1" applyAlignment="1">
      <alignment horizontal="center"/>
    </xf>
    <xf numFmtId="167" fontId="9" fillId="5" borderId="1" xfId="0" applyNumberFormat="1" applyFont="1" applyFill="1" applyBorder="1" applyAlignment="1">
      <alignment horizontal="center"/>
    </xf>
    <xf numFmtId="2" fontId="9" fillId="5" borderId="16" xfId="0" applyNumberFormat="1" applyFont="1" applyFill="1" applyBorder="1" applyAlignment="1">
      <alignment horizontal="center"/>
    </xf>
    <xf numFmtId="0" fontId="9" fillId="0" borderId="11" xfId="0" applyFont="1" applyBorder="1"/>
    <xf numFmtId="0" fontId="9" fillId="0" borderId="12" xfId="0" applyFont="1" applyBorder="1"/>
    <xf numFmtId="0" fontId="11" fillId="3" borderId="10" xfId="0" applyFont="1" applyFill="1" applyBorder="1"/>
    <xf numFmtId="167" fontId="9" fillId="0" borderId="11" xfId="0" applyNumberFormat="1" applyFont="1" applyBorder="1"/>
    <xf numFmtId="167" fontId="9" fillId="0" borderId="12" xfId="0" applyNumberFormat="1" applyFont="1" applyBorder="1"/>
    <xf numFmtId="0" fontId="9" fillId="0" borderId="13" xfId="0" applyFont="1" applyBorder="1"/>
    <xf numFmtId="0" fontId="9" fillId="0" borderId="14" xfId="0" applyFont="1" applyBorder="1"/>
    <xf numFmtId="2" fontId="9" fillId="4" borderId="0" xfId="0" applyNumberFormat="1" applyFont="1" applyFill="1" applyAlignment="1">
      <alignment horizontal="right"/>
    </xf>
    <xf numFmtId="166" fontId="9" fillId="4" borderId="0" xfId="0" applyNumberFormat="1" applyFont="1" applyFill="1" applyAlignment="1">
      <alignment horizontal="right"/>
    </xf>
    <xf numFmtId="0" fontId="9" fillId="0" borderId="15" xfId="0" applyFont="1" applyBorder="1"/>
    <xf numFmtId="2" fontId="9" fillId="5" borderId="1" xfId="0" applyNumberFormat="1" applyFont="1" applyFill="1" applyBorder="1" applyAlignment="1">
      <alignment horizontal="right"/>
    </xf>
    <xf numFmtId="0" fontId="9" fillId="0" borderId="16" xfId="0" applyFont="1" applyBorder="1"/>
    <xf numFmtId="166" fontId="9" fillId="5" borderId="1" xfId="0" applyNumberFormat="1" applyFont="1" applyFill="1" applyBorder="1" applyAlignment="1">
      <alignment horizontal="right"/>
    </xf>
    <xf numFmtId="167" fontId="16" fillId="0" borderId="12" xfId="0" applyNumberFormat="1" applyFont="1" applyBorder="1"/>
    <xf numFmtId="1" fontId="9" fillId="0" borderId="11" xfId="0" applyNumberFormat="1" applyFont="1" applyBorder="1"/>
    <xf numFmtId="0" fontId="9" fillId="0" borderId="13" xfId="0" applyFont="1" applyBorder="1" applyAlignment="1">
      <alignment horizontal="right"/>
    </xf>
    <xf numFmtId="167" fontId="9" fillId="0" borderId="14" xfId="0" applyNumberFormat="1" applyFont="1" applyBorder="1"/>
    <xf numFmtId="0" fontId="9" fillId="0" borderId="15" xfId="0" applyFont="1" applyBorder="1" applyAlignment="1">
      <alignment horizontal="right"/>
    </xf>
    <xf numFmtId="167" fontId="9" fillId="0" borderId="16" xfId="0" applyNumberFormat="1" applyFont="1" applyBorder="1"/>
    <xf numFmtId="0" fontId="3" fillId="0" borderId="13" xfId="0" applyFont="1" applyBorder="1"/>
    <xf numFmtId="0" fontId="3" fillId="0" borderId="14" xfId="0" applyFont="1" applyBorder="1"/>
    <xf numFmtId="166" fontId="9" fillId="5" borderId="0" xfId="0" applyNumberFormat="1" applyFont="1" applyFill="1" applyAlignment="1">
      <alignment horizontal="right"/>
    </xf>
    <xf numFmtId="0" fontId="3" fillId="0" borderId="10" xfId="0" applyFont="1" applyBorder="1" applyAlignment="1">
      <alignment horizontal="right"/>
    </xf>
    <xf numFmtId="0" fontId="3" fillId="0" borderId="11" xfId="0" applyFont="1" applyBorder="1"/>
    <xf numFmtId="0" fontId="3" fillId="0" borderId="12" xfId="0" applyFont="1" applyBorder="1"/>
    <xf numFmtId="0" fontId="3" fillId="0" borderId="13" xfId="0" applyFont="1" applyBorder="1" applyAlignment="1">
      <alignment horizontal="right"/>
    </xf>
    <xf numFmtId="0" fontId="3" fillId="0" borderId="15" xfId="0" applyFont="1" applyBorder="1" applyAlignment="1">
      <alignment horizontal="right"/>
    </xf>
    <xf numFmtId="2" fontId="3" fillId="0" borderId="1" xfId="0" applyNumberFormat="1" applyFont="1" applyBorder="1"/>
    <xf numFmtId="0" fontId="3" fillId="0" borderId="16" xfId="0" applyFont="1" applyBorder="1"/>
    <xf numFmtId="171" fontId="3" fillId="0" borderId="0" xfId="0" applyNumberFormat="1" applyFont="1"/>
    <xf numFmtId="2" fontId="3" fillId="0" borderId="0" xfId="0" applyNumberFormat="1" applyFont="1" applyAlignment="1">
      <alignment horizontal="center"/>
    </xf>
    <xf numFmtId="172" fontId="3" fillId="0" borderId="0" xfId="0" applyNumberFormat="1" applyFont="1"/>
    <xf numFmtId="2" fontId="3" fillId="175" borderId="0" xfId="0" applyNumberFormat="1" applyFont="1" applyFill="1" applyAlignment="1">
      <alignment horizontal="center"/>
    </xf>
    <xf numFmtId="2" fontId="3" fillId="175" borderId="0" xfId="0" applyNumberFormat="1" applyFont="1" applyFill="1"/>
    <xf numFmtId="0" fontId="4" fillId="0" borderId="0" xfId="0" applyFont="1"/>
    <xf numFmtId="0" fontId="9" fillId="0" borderId="0" xfId="0" applyFont="1" applyAlignment="1">
      <alignment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applyAlignment="1">
      <alignment horizontal="left" vertical="center"/>
    </xf>
    <xf numFmtId="0" fontId="7" fillId="0" borderId="0" xfId="0" applyFont="1" applyAlignment="1">
      <alignment vertical="top" wrapText="1"/>
    </xf>
    <xf numFmtId="0" fontId="8" fillId="0" borderId="0" xfId="0" applyFont="1" applyAlignment="1">
      <alignment wrapText="1"/>
    </xf>
    <xf numFmtId="167" fontId="3" fillId="6" borderId="0" xfId="0" applyNumberFormat="1" applyFont="1" applyFill="1" applyAlignment="1">
      <alignment horizontal="left"/>
    </xf>
    <xf numFmtId="0" fontId="0" fillId="0" borderId="0" xfId="0" applyAlignment="1"/>
    <xf numFmtId="0" fontId="7" fillId="0" borderId="0" xfId="0" applyFont="1" applyAlignment="1"/>
    <xf numFmtId="0" fontId="3" fillId="0" borderId="0" xfId="0" applyFont="1" applyAlignment="1"/>
  </cellXfs>
  <cellStyles count="1">
    <cellStyle name="Normal" xfId="0" builtinId="0"/>
  </cellStyles>
  <dxfs count="56">
    <dxf>
      <fill>
        <patternFill patternType="solid">
          <fgColor rgb="FF93C47D"/>
          <bgColor rgb="FF93C47D"/>
        </patternFill>
      </fill>
    </dxf>
    <dxf>
      <fill>
        <patternFill patternType="solid">
          <fgColor rgb="FFB7E1CD"/>
          <bgColor rgb="FFB7E1CD"/>
        </patternFill>
      </fill>
    </dxf>
    <dxf>
      <fill>
        <patternFill patternType="solid">
          <fgColor rgb="FFFFE599"/>
          <bgColor rgb="FFFFE599"/>
        </patternFill>
      </fill>
    </dxf>
    <dxf>
      <fill>
        <patternFill patternType="solid">
          <fgColor rgb="FF6D9EEB"/>
          <bgColor rgb="FF6D9EEB"/>
        </patternFill>
      </fill>
    </dxf>
    <dxf>
      <font>
        <color rgb="FF000000"/>
      </font>
      <fill>
        <patternFill patternType="solid">
          <fgColor rgb="FF00FF00"/>
          <bgColor rgb="FF00FF00"/>
        </patternFill>
      </fill>
    </dxf>
    <dxf>
      <fill>
        <patternFill patternType="solid">
          <fgColor rgb="FFFF9900"/>
          <bgColor rgb="FFFF9900"/>
        </patternFill>
      </fill>
    </dxf>
    <dxf>
      <fill>
        <patternFill patternType="solid">
          <fgColor rgb="FFFFD966"/>
          <bgColor rgb="FFFFD966"/>
        </patternFill>
      </fill>
    </dxf>
    <dxf>
      <fill>
        <patternFill patternType="solid">
          <fgColor rgb="FFFF0000"/>
          <bgColor rgb="FFFF0000"/>
        </patternFill>
      </fill>
    </dxf>
    <dxf>
      <fill>
        <patternFill patternType="solid">
          <fgColor rgb="FFFF6D01"/>
          <bgColor rgb="FFFF6D01"/>
        </patternFill>
      </fill>
    </dxf>
    <dxf>
      <fill>
        <patternFill patternType="solid">
          <fgColor rgb="FFB7E1CD"/>
          <bgColor rgb="FFB7E1CD"/>
        </patternFill>
      </fill>
    </dxf>
    <dxf>
      <fill>
        <patternFill patternType="solid">
          <fgColor rgb="FF6AA84F"/>
          <bgColor rgb="FF6AA84F"/>
        </patternFill>
      </fill>
    </dxf>
    <dxf>
      <fill>
        <patternFill patternType="solid">
          <fgColor rgb="FFFFD966"/>
          <bgColor rgb="FFFFD966"/>
        </patternFill>
      </fill>
    </dxf>
    <dxf>
      <fill>
        <patternFill patternType="solid">
          <fgColor rgb="FF6D9EEB"/>
          <bgColor rgb="FF6D9EEB"/>
        </patternFill>
      </fill>
    </dxf>
    <dxf>
      <fill>
        <patternFill patternType="solid">
          <fgColor rgb="FFB6D7A8"/>
          <bgColor rgb="FFB6D7A8"/>
        </patternFill>
      </fill>
    </dxf>
    <dxf>
      <fill>
        <patternFill patternType="solid">
          <fgColor rgb="FF93C47D"/>
          <bgColor rgb="FF93C47D"/>
        </patternFill>
      </fill>
    </dxf>
    <dxf>
      <fill>
        <patternFill patternType="solid">
          <fgColor rgb="FFB7E1CD"/>
          <bgColor rgb="FFB7E1CD"/>
        </patternFill>
      </fill>
    </dxf>
    <dxf>
      <fill>
        <patternFill patternType="solid">
          <fgColor rgb="FFFFE599"/>
          <bgColor rgb="FFFFE599"/>
        </patternFill>
      </fill>
    </dxf>
    <dxf>
      <fill>
        <patternFill patternType="solid">
          <fgColor rgb="FF6D9EEB"/>
          <bgColor rgb="FF6D9EEB"/>
        </patternFill>
      </fill>
    </dxf>
    <dxf>
      <font>
        <color rgb="FF000000"/>
      </font>
      <fill>
        <patternFill patternType="solid">
          <fgColor rgb="FF00FF00"/>
          <bgColor rgb="FF00FF00"/>
        </patternFill>
      </fill>
    </dxf>
    <dxf>
      <fill>
        <patternFill patternType="solid">
          <fgColor rgb="FFFF9900"/>
          <bgColor rgb="FFFF9900"/>
        </patternFill>
      </fill>
    </dxf>
    <dxf>
      <fill>
        <patternFill patternType="solid">
          <fgColor rgb="FFFFD966"/>
          <bgColor rgb="FFFFD966"/>
        </patternFill>
      </fill>
    </dxf>
    <dxf>
      <fill>
        <patternFill patternType="solid">
          <fgColor rgb="FFFF0000"/>
          <bgColor rgb="FFFF0000"/>
        </patternFill>
      </fill>
    </dxf>
    <dxf>
      <fill>
        <patternFill patternType="solid">
          <fgColor rgb="FFFF6D01"/>
          <bgColor rgb="FFFF6D01"/>
        </patternFill>
      </fill>
    </dxf>
    <dxf>
      <fill>
        <patternFill patternType="solid">
          <fgColor rgb="FFB7E1CD"/>
          <bgColor rgb="FFB7E1CD"/>
        </patternFill>
      </fill>
    </dxf>
    <dxf>
      <fill>
        <patternFill patternType="solid">
          <fgColor rgb="FF6AA84F"/>
          <bgColor rgb="FF6AA84F"/>
        </patternFill>
      </fill>
    </dxf>
    <dxf>
      <fill>
        <patternFill patternType="solid">
          <fgColor rgb="FFFFD966"/>
          <bgColor rgb="FFFFD966"/>
        </patternFill>
      </fill>
    </dxf>
    <dxf>
      <fill>
        <patternFill patternType="solid">
          <fgColor rgb="FF6D9EEB"/>
          <bgColor rgb="FF6D9EEB"/>
        </patternFill>
      </fill>
    </dxf>
    <dxf>
      <fill>
        <patternFill patternType="solid">
          <fgColor rgb="FFB6D7A8"/>
          <bgColor rgb="FFB6D7A8"/>
        </patternFill>
      </fill>
    </dxf>
    <dxf>
      <fill>
        <patternFill patternType="solid">
          <fgColor rgb="FF93C47D"/>
          <bgColor rgb="FF93C47D"/>
        </patternFill>
      </fill>
    </dxf>
    <dxf>
      <fill>
        <patternFill patternType="solid">
          <fgColor rgb="FFB7E1CD"/>
          <bgColor rgb="FFB7E1CD"/>
        </patternFill>
      </fill>
    </dxf>
    <dxf>
      <fill>
        <patternFill patternType="solid">
          <fgColor rgb="FFFFE599"/>
          <bgColor rgb="FFFFE599"/>
        </patternFill>
      </fill>
    </dxf>
    <dxf>
      <fill>
        <patternFill patternType="solid">
          <fgColor rgb="FF6D9EEB"/>
          <bgColor rgb="FF6D9EEB"/>
        </patternFill>
      </fill>
    </dxf>
    <dxf>
      <font>
        <color rgb="FF000000"/>
      </font>
      <fill>
        <patternFill patternType="solid">
          <fgColor rgb="FF00FF00"/>
          <bgColor rgb="FF00FF00"/>
        </patternFill>
      </fill>
    </dxf>
    <dxf>
      <fill>
        <patternFill patternType="solid">
          <fgColor rgb="FFFF9900"/>
          <bgColor rgb="FFFF9900"/>
        </patternFill>
      </fill>
    </dxf>
    <dxf>
      <fill>
        <patternFill patternType="solid">
          <fgColor rgb="FFFFD966"/>
          <bgColor rgb="FFFFD966"/>
        </patternFill>
      </fill>
    </dxf>
    <dxf>
      <fill>
        <patternFill patternType="solid">
          <fgColor rgb="FFFF0000"/>
          <bgColor rgb="FFFF0000"/>
        </patternFill>
      </fill>
    </dxf>
    <dxf>
      <fill>
        <patternFill patternType="solid">
          <fgColor rgb="FFFF6D01"/>
          <bgColor rgb="FFFF6D01"/>
        </patternFill>
      </fill>
    </dxf>
    <dxf>
      <fill>
        <patternFill patternType="solid">
          <fgColor rgb="FFB7E1CD"/>
          <bgColor rgb="FFB7E1CD"/>
        </patternFill>
      </fill>
    </dxf>
    <dxf>
      <fill>
        <patternFill patternType="solid">
          <fgColor rgb="FF6AA84F"/>
          <bgColor rgb="FF6AA84F"/>
        </patternFill>
      </fill>
    </dxf>
    <dxf>
      <fill>
        <patternFill patternType="solid">
          <fgColor rgb="FFFFD966"/>
          <bgColor rgb="FFFFD966"/>
        </patternFill>
      </fill>
    </dxf>
    <dxf>
      <fill>
        <patternFill patternType="solid">
          <fgColor rgb="FF6D9EEB"/>
          <bgColor rgb="FF6D9EEB"/>
        </patternFill>
      </fill>
    </dxf>
    <dxf>
      <fill>
        <patternFill patternType="solid">
          <fgColor rgb="FFB6D7A8"/>
          <bgColor rgb="FFB6D7A8"/>
        </patternFill>
      </fill>
    </dxf>
    <dxf>
      <fill>
        <patternFill patternType="solid">
          <fgColor rgb="FF93C47D"/>
          <bgColor rgb="FF93C47D"/>
        </patternFill>
      </fill>
    </dxf>
    <dxf>
      <fill>
        <patternFill patternType="solid">
          <fgColor rgb="FFB7E1CD"/>
          <bgColor rgb="FFB7E1CD"/>
        </patternFill>
      </fill>
    </dxf>
    <dxf>
      <fill>
        <patternFill patternType="solid">
          <fgColor rgb="FFFFE599"/>
          <bgColor rgb="FFFFE599"/>
        </patternFill>
      </fill>
    </dxf>
    <dxf>
      <fill>
        <patternFill patternType="solid">
          <fgColor rgb="FF6D9EEB"/>
          <bgColor rgb="FF6D9EEB"/>
        </patternFill>
      </fill>
    </dxf>
    <dxf>
      <font>
        <color rgb="FF000000"/>
      </font>
      <fill>
        <patternFill patternType="solid">
          <fgColor rgb="FF00FF00"/>
          <bgColor rgb="FF00FF00"/>
        </patternFill>
      </fill>
    </dxf>
    <dxf>
      <fill>
        <patternFill patternType="solid">
          <fgColor rgb="FFFF9900"/>
          <bgColor rgb="FFFF9900"/>
        </patternFill>
      </fill>
    </dxf>
    <dxf>
      <fill>
        <patternFill patternType="solid">
          <fgColor rgb="FFFFD966"/>
          <bgColor rgb="FFFFD966"/>
        </patternFill>
      </fill>
    </dxf>
    <dxf>
      <fill>
        <patternFill patternType="solid">
          <fgColor rgb="FFFF0000"/>
          <bgColor rgb="FFFF0000"/>
        </patternFill>
      </fill>
    </dxf>
    <dxf>
      <fill>
        <patternFill patternType="solid">
          <fgColor rgb="FFFF6D01"/>
          <bgColor rgb="FFFF6D01"/>
        </patternFill>
      </fill>
    </dxf>
    <dxf>
      <fill>
        <patternFill patternType="solid">
          <fgColor rgb="FFB7E1CD"/>
          <bgColor rgb="FFB7E1CD"/>
        </patternFill>
      </fill>
    </dxf>
    <dxf>
      <fill>
        <patternFill patternType="solid">
          <fgColor rgb="FF6AA84F"/>
          <bgColor rgb="FF6AA84F"/>
        </patternFill>
      </fill>
    </dxf>
    <dxf>
      <fill>
        <patternFill patternType="solid">
          <fgColor rgb="FFFFD966"/>
          <bgColor rgb="FFFFD966"/>
        </patternFill>
      </fill>
    </dxf>
    <dxf>
      <fill>
        <patternFill patternType="solid">
          <fgColor rgb="FF6D9EEB"/>
          <bgColor rgb="FF6D9EEB"/>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Buck- and Boost Converter Efficiency</a:t>
            </a:r>
          </a:p>
        </c:rich>
      </c:tx>
      <c:overlay val="0"/>
    </c:title>
    <c:autoTitleDeleted val="0"/>
    <c:plotArea>
      <c:layout/>
      <c:lineChart>
        <c:grouping val="standard"/>
        <c:varyColors val="1"/>
        <c:ser>
          <c:idx val="0"/>
          <c:order val="0"/>
          <c:tx>
            <c:strRef>
              <c:f>'Checklist v9-3'!$C$263</c:f>
              <c:strCache>
                <c:ptCount val="1"/>
                <c:pt idx="0">
                  <c:v>24V -&gt; 3.7V Step Down</c:v>
                </c:pt>
              </c:strCache>
            </c:strRef>
          </c:tx>
          <c:spPr>
            <a:ln cmpd="sng">
              <a:solidFill>
                <a:srgbClr val="4285F4"/>
              </a:solidFill>
            </a:ln>
          </c:spPr>
          <c:marker>
            <c:symbol val="none"/>
          </c:marker>
          <c:cat>
            <c:numRef>
              <c:f>'Checklist v9-3'!$B$264:$B$283</c:f>
              <c:numCache>
                <c:formatCode>0.000</c:formatCode>
                <c:ptCount val="20"/>
                <c:pt idx="0">
                  <c:v>2.37699E-2</c:v>
                </c:pt>
                <c:pt idx="1">
                  <c:v>0.06</c:v>
                </c:pt>
                <c:pt idx="2">
                  <c:v>0.19208</c:v>
                </c:pt>
                <c:pt idx="3">
                  <c:v>0.25981169999999998</c:v>
                </c:pt>
                <c:pt idx="4">
                  <c:v>0.49991999999999998</c:v>
                </c:pt>
                <c:pt idx="5">
                  <c:v>1.0775999999999999</c:v>
                </c:pt>
                <c:pt idx="6">
                  <c:v>1.4818972000000001</c:v>
                </c:pt>
                <c:pt idx="7">
                  <c:v>2.4408000000000003</c:v>
                </c:pt>
                <c:pt idx="8">
                  <c:v>3.3854100000000003</c:v>
                </c:pt>
                <c:pt idx="9">
                  <c:v>5.0541050000000007</c:v>
                </c:pt>
                <c:pt idx="10">
                  <c:v>7.1789900000000006</c:v>
                </c:pt>
                <c:pt idx="11">
                  <c:v>0</c:v>
                </c:pt>
                <c:pt idx="12">
                  <c:v>0.75109999999999999</c:v>
                </c:pt>
                <c:pt idx="13">
                  <c:v>1.665</c:v>
                </c:pt>
                <c:pt idx="14">
                  <c:v>2.0034000000000001</c:v>
                </c:pt>
                <c:pt idx="15">
                  <c:v>3.0570399999999998</c:v>
                </c:pt>
                <c:pt idx="16">
                  <c:v>4.4279999999999999</c:v>
                </c:pt>
                <c:pt idx="17">
                  <c:v>5.7416400000000003</c:v>
                </c:pt>
                <c:pt idx="18">
                  <c:v>7.1313499999999994</c:v>
                </c:pt>
                <c:pt idx="19">
                  <c:v>8.6950000000000003</c:v>
                </c:pt>
              </c:numCache>
            </c:numRef>
          </c:cat>
          <c:val>
            <c:numRef>
              <c:f>'Checklist v9-3'!$C$264:$C$283</c:f>
              <c:numCache>
                <c:formatCode>0.00%</c:formatCode>
                <c:ptCount val="20"/>
                <c:pt idx="0">
                  <c:v>0</c:v>
                </c:pt>
                <c:pt idx="1">
                  <c:v>0.48807000000000006</c:v>
                </c:pt>
                <c:pt idx="2">
                  <c:v>0.70141399416909622</c:v>
                </c:pt>
                <c:pt idx="3">
                  <c:v>0.72759002000294837</c:v>
                </c:pt>
                <c:pt idx="4">
                  <c:v>0.7586453832613218</c:v>
                </c:pt>
                <c:pt idx="5">
                  <c:v>0.76818207126948779</c:v>
                </c:pt>
                <c:pt idx="6">
                  <c:v>0.77122218734200976</c:v>
                </c:pt>
                <c:pt idx="7">
                  <c:v>0.77224680432645021</c:v>
                </c:pt>
                <c:pt idx="8">
                  <c:v>0.77952448890976267</c:v>
                </c:pt>
                <c:pt idx="9">
                  <c:v>0.73749160336004094</c:v>
                </c:pt>
                <c:pt idx="10">
                  <c:v>0.71710087352120544</c:v>
                </c:pt>
              </c:numCache>
            </c:numRef>
          </c:val>
          <c:smooth val="0"/>
          <c:extLst>
            <c:ext xmlns:c16="http://schemas.microsoft.com/office/drawing/2014/chart" uri="{C3380CC4-5D6E-409C-BE32-E72D297353CC}">
              <c16:uniqueId val="{00000000-3E8D-4E9C-BBA9-2BABD38467AF}"/>
            </c:ext>
          </c:extLst>
        </c:ser>
        <c:ser>
          <c:idx val="1"/>
          <c:order val="1"/>
          <c:tx>
            <c:v>3.7V -&gt; 12V Step Up</c:v>
          </c:tx>
          <c:spPr>
            <a:ln cmpd="sng">
              <a:solidFill>
                <a:srgbClr val="EA4335"/>
              </a:solidFill>
            </a:ln>
          </c:spPr>
          <c:marker>
            <c:symbol val="none"/>
          </c:marker>
          <c:cat>
            <c:numRef>
              <c:f>'Checklist v9-3'!$B$264:$B$283</c:f>
              <c:numCache>
                <c:formatCode>0.000</c:formatCode>
                <c:ptCount val="20"/>
                <c:pt idx="0">
                  <c:v>2.37699E-2</c:v>
                </c:pt>
                <c:pt idx="1">
                  <c:v>0.06</c:v>
                </c:pt>
                <c:pt idx="2">
                  <c:v>0.19208</c:v>
                </c:pt>
                <c:pt idx="3">
                  <c:v>0.25981169999999998</c:v>
                </c:pt>
                <c:pt idx="4">
                  <c:v>0.49991999999999998</c:v>
                </c:pt>
                <c:pt idx="5">
                  <c:v>1.0775999999999999</c:v>
                </c:pt>
                <c:pt idx="6">
                  <c:v>1.4818972000000001</c:v>
                </c:pt>
                <c:pt idx="7">
                  <c:v>2.4408000000000003</c:v>
                </c:pt>
                <c:pt idx="8">
                  <c:v>3.3854100000000003</c:v>
                </c:pt>
                <c:pt idx="9">
                  <c:v>5.0541050000000007</c:v>
                </c:pt>
                <c:pt idx="10">
                  <c:v>7.1789900000000006</c:v>
                </c:pt>
                <c:pt idx="11">
                  <c:v>0</c:v>
                </c:pt>
                <c:pt idx="12">
                  <c:v>0.75109999999999999</c:v>
                </c:pt>
                <c:pt idx="13">
                  <c:v>1.665</c:v>
                </c:pt>
                <c:pt idx="14">
                  <c:v>2.0034000000000001</c:v>
                </c:pt>
                <c:pt idx="15">
                  <c:v>3.0570399999999998</c:v>
                </c:pt>
                <c:pt idx="16">
                  <c:v>4.4279999999999999</c:v>
                </c:pt>
                <c:pt idx="17">
                  <c:v>5.7416400000000003</c:v>
                </c:pt>
                <c:pt idx="18">
                  <c:v>7.1313499999999994</c:v>
                </c:pt>
                <c:pt idx="19">
                  <c:v>8.6950000000000003</c:v>
                </c:pt>
              </c:numCache>
            </c:numRef>
          </c:cat>
          <c:val>
            <c:numRef>
              <c:f>'Checklist v9-3'!$D$264:$D$283</c:f>
              <c:numCache>
                <c:formatCode>General</c:formatCode>
                <c:ptCount val="20"/>
                <c:pt idx="11" formatCode="0.00%">
                  <c:v>0</c:v>
                </c:pt>
                <c:pt idx="12" formatCode="0.00%">
                  <c:v>0.79752709359605922</c:v>
                </c:pt>
                <c:pt idx="13" formatCode="0.00%">
                  <c:v>0.82831783783783786</c:v>
                </c:pt>
                <c:pt idx="14" formatCode="0.00%">
                  <c:v>0.82869581711091134</c:v>
                </c:pt>
                <c:pt idx="15" formatCode="0.00%">
                  <c:v>0.83356540967733517</c:v>
                </c:pt>
                <c:pt idx="16" formatCode="0.00%">
                  <c:v>0.81987579042457104</c:v>
                </c:pt>
                <c:pt idx="17" formatCode="0.00%">
                  <c:v>0.79509969277070658</c:v>
                </c:pt>
                <c:pt idx="18" formatCode="0.00%">
                  <c:v>0.76183575339872533</c:v>
                </c:pt>
                <c:pt idx="19" formatCode="0.00%">
                  <c:v>0.72837483611270837</c:v>
                </c:pt>
              </c:numCache>
            </c:numRef>
          </c:val>
          <c:smooth val="0"/>
          <c:extLst>
            <c:ext xmlns:c16="http://schemas.microsoft.com/office/drawing/2014/chart" uri="{C3380CC4-5D6E-409C-BE32-E72D297353CC}">
              <c16:uniqueId val="{00000001-3E8D-4E9C-BBA9-2BABD38467AF}"/>
            </c:ext>
          </c:extLst>
        </c:ser>
        <c:dLbls>
          <c:showLegendKey val="0"/>
          <c:showVal val="0"/>
          <c:showCatName val="0"/>
          <c:showSerName val="0"/>
          <c:showPercent val="0"/>
          <c:showBubbleSize val="0"/>
        </c:dLbls>
        <c:smooth val="0"/>
        <c:axId val="259154779"/>
        <c:axId val="1639292683"/>
      </c:lineChart>
      <c:catAx>
        <c:axId val="2591547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Input Power [W]</a:t>
                </a:r>
              </a:p>
            </c:rich>
          </c:tx>
          <c:overlay val="0"/>
        </c:title>
        <c:numFmt formatCode="0" sourceLinked="0"/>
        <c:majorTickMark val="none"/>
        <c:minorTickMark val="none"/>
        <c:tickLblPos val="nextTo"/>
        <c:txPr>
          <a:bodyPr/>
          <a:lstStyle/>
          <a:p>
            <a:pPr lvl="0">
              <a:defRPr b="0">
                <a:solidFill>
                  <a:srgbClr val="000000"/>
                </a:solidFill>
                <a:latin typeface="+mn-lt"/>
              </a:defRPr>
            </a:pPr>
            <a:endParaRPr lang="en-US"/>
          </a:p>
        </c:txPr>
        <c:crossAx val="1639292683"/>
        <c:crosses val="autoZero"/>
        <c:auto val="1"/>
        <c:lblAlgn val="ctr"/>
        <c:lblOffset val="100"/>
        <c:noMultiLvlLbl val="1"/>
      </c:catAx>
      <c:valAx>
        <c:axId val="16392926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Conversion Efficiency</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259154779"/>
        <c:crosses val="autoZero"/>
        <c:crossBetween val="between"/>
        <c:majorUnit val="0.2"/>
        <c:minorUnit val="0.1"/>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Efficiency vs. Input Power at 50 V</a:t>
            </a:r>
          </a:p>
        </c:rich>
      </c:tx>
      <c:layout>
        <c:manualLayout>
          <c:xMode val="edge"/>
          <c:yMode val="edge"/>
          <c:x val="4.7583333333333332E-2"/>
          <c:y val="0.05"/>
        </c:manualLayout>
      </c:layout>
      <c:overlay val="0"/>
    </c:title>
    <c:autoTitleDeleted val="0"/>
    <c:plotArea>
      <c:layout/>
      <c:lineChart>
        <c:grouping val="standard"/>
        <c:varyColors val="0"/>
        <c:ser>
          <c:idx val="0"/>
          <c:order val="0"/>
          <c:tx>
            <c:strRef>
              <c:f>'Measurements Table example'!$AH$19</c:f>
              <c:strCache>
                <c:ptCount val="1"/>
                <c:pt idx="0">
                  <c:v>Efficiency</c:v>
                </c:pt>
              </c:strCache>
            </c:strRef>
          </c:tx>
          <c:spPr>
            <a:ln cmpd="sng">
              <a:solidFill>
                <a:srgbClr val="4285F4"/>
              </a:solidFill>
            </a:ln>
          </c:spPr>
          <c:marker>
            <c:symbol val="none"/>
          </c:marker>
          <c:cat>
            <c:numRef>
              <c:f>'Measurements Table example'!$AG$20:$AG$26</c:f>
              <c:numCache>
                <c:formatCode>0.00</c:formatCode>
                <c:ptCount val="7"/>
                <c:pt idx="0">
                  <c:v>9.5114000000000001</c:v>
                </c:pt>
                <c:pt idx="1">
                  <c:v>11.508280000000001</c:v>
                </c:pt>
                <c:pt idx="2">
                  <c:v>12.845630999999999</c:v>
                </c:pt>
                <c:pt idx="3">
                  <c:v>16.696400000000001</c:v>
                </c:pt>
                <c:pt idx="4">
                  <c:v>23.375730000000001</c:v>
                </c:pt>
                <c:pt idx="5">
                  <c:v>37.452779999999997</c:v>
                </c:pt>
                <c:pt idx="6">
                  <c:v>50.524160000000002</c:v>
                </c:pt>
              </c:numCache>
            </c:numRef>
          </c:cat>
          <c:val>
            <c:numRef>
              <c:f>'Measurements Table example'!$AH$20:$AH$26</c:f>
              <c:numCache>
                <c:formatCode>0.00%</c:formatCode>
                <c:ptCount val="7"/>
                <c:pt idx="0">
                  <c:v>1.4231692985014727E-2</c:v>
                </c:pt>
                <c:pt idx="1">
                  <c:v>0.21604396002077422</c:v>
                </c:pt>
                <c:pt idx="2">
                  <c:v>0.29268206868852781</c:v>
                </c:pt>
                <c:pt idx="3">
                  <c:v>0.459840645082641</c:v>
                </c:pt>
                <c:pt idx="4">
                  <c:v>0.6133638762770891</c:v>
                </c:pt>
                <c:pt idx="5">
                  <c:v>0.73843425457338829</c:v>
                </c:pt>
                <c:pt idx="6">
                  <c:v>0.81095326888082764</c:v>
                </c:pt>
              </c:numCache>
            </c:numRef>
          </c:val>
          <c:smooth val="0"/>
          <c:extLst>
            <c:ext xmlns:c16="http://schemas.microsoft.com/office/drawing/2014/chart" uri="{C3380CC4-5D6E-409C-BE32-E72D297353CC}">
              <c16:uniqueId val="{00000000-4EAB-4D52-AB38-C65141D03D20}"/>
            </c:ext>
          </c:extLst>
        </c:ser>
        <c:dLbls>
          <c:showLegendKey val="0"/>
          <c:showVal val="0"/>
          <c:showCatName val="0"/>
          <c:showSerName val="0"/>
          <c:showPercent val="0"/>
          <c:showBubbleSize val="0"/>
        </c:dLbls>
        <c:smooth val="0"/>
        <c:axId val="1966599639"/>
        <c:axId val="2092337119"/>
      </c:lineChart>
      <c:catAx>
        <c:axId val="1966599639"/>
        <c:scaling>
          <c:orientation val="minMax"/>
          <c:max val="52"/>
        </c:scaling>
        <c:delete val="0"/>
        <c:axPos val="b"/>
        <c:title>
          <c:tx>
            <c:rich>
              <a:bodyPr/>
              <a:lstStyle/>
              <a:p>
                <a:pPr lvl="0">
                  <a:defRPr b="0">
                    <a:solidFill>
                      <a:srgbClr val="000000"/>
                    </a:solidFill>
                    <a:latin typeface="+mn-lt"/>
                  </a:defRPr>
                </a:pPr>
                <a:r>
                  <a:rPr lang="en-US" b="0">
                    <a:solidFill>
                      <a:srgbClr val="000000"/>
                    </a:solidFill>
                    <a:latin typeface="+mn-lt"/>
                  </a:rPr>
                  <a:t>HV IN P [W]</a:t>
                </a:r>
              </a:p>
            </c:rich>
          </c:tx>
          <c:overlay val="0"/>
        </c:title>
        <c:numFmt formatCode="0.00" sourceLinked="1"/>
        <c:majorTickMark val="none"/>
        <c:minorTickMark val="none"/>
        <c:tickLblPos val="nextTo"/>
        <c:txPr>
          <a:bodyPr/>
          <a:lstStyle/>
          <a:p>
            <a:pPr lvl="0">
              <a:defRPr b="0">
                <a:solidFill>
                  <a:srgbClr val="000000"/>
                </a:solidFill>
                <a:latin typeface="+mn-lt"/>
              </a:defRPr>
            </a:pPr>
            <a:endParaRPr lang="en-US"/>
          </a:p>
        </c:txPr>
        <c:crossAx val="2092337119"/>
        <c:crosses val="autoZero"/>
        <c:auto val="1"/>
        <c:lblAlgn val="ctr"/>
        <c:lblOffset val="100"/>
        <c:noMultiLvlLbl val="1"/>
      </c:catAx>
      <c:valAx>
        <c:axId val="20923371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Efficiency</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966599639"/>
        <c:crosses val="autoZero"/>
        <c:crossBetween val="between"/>
        <c:majorUnit val="0.2"/>
        <c:minorUnit val="0.1"/>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485775</xdr:colOff>
      <xdr:row>261</xdr:row>
      <xdr:rowOff>190500</xdr:rowOff>
    </xdr:from>
    <xdr:ext cx="6772275" cy="4191000"/>
    <xdr:graphicFrame macro="">
      <xdr:nvGraphicFramePr>
        <xdr:cNvPr id="2" name="Chart 1" title="Diagramm">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28</xdr:col>
      <xdr:colOff>19050</xdr:colOff>
      <xdr:row>26</xdr:row>
      <xdr:rowOff>190500</xdr:rowOff>
    </xdr:from>
    <xdr:ext cx="5715000" cy="3533775"/>
    <xdr:graphicFrame macro="">
      <xdr:nvGraphicFramePr>
        <xdr:cNvPr id="2" name="Chart 2" title="Diagramm">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36</xdr:col>
      <xdr:colOff>0</xdr:colOff>
      <xdr:row>3</xdr:row>
      <xdr:rowOff>180975</xdr:rowOff>
    </xdr:from>
    <xdr:ext cx="5715000" cy="3533775"/>
    <xdr:pic>
      <xdr:nvPicPr>
        <xdr:cNvPr id="587471680" name="Chart3" title="Diagramm">
          <a:extLst>
            <a:ext uri="{FF2B5EF4-FFF2-40B4-BE49-F238E27FC236}">
              <a16:creationId xmlns:a16="http://schemas.microsoft.com/office/drawing/2014/main" id="{00000000-0008-0000-0700-0000401B042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40</xdr:col>
      <xdr:colOff>952500</xdr:colOff>
      <xdr:row>40</xdr:row>
      <xdr:rowOff>123825</xdr:rowOff>
    </xdr:from>
    <xdr:ext cx="7820025" cy="4838700"/>
    <xdr:pic>
      <xdr:nvPicPr>
        <xdr:cNvPr id="926248222" name="Chart4" title="Diagramm">
          <a:extLst>
            <a:ext uri="{FF2B5EF4-FFF2-40B4-BE49-F238E27FC236}">
              <a16:creationId xmlns:a16="http://schemas.microsoft.com/office/drawing/2014/main" id="{00000000-0008-0000-0700-00001E6D3537}"/>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41</xdr:col>
      <xdr:colOff>0</xdr:colOff>
      <xdr:row>64</xdr:row>
      <xdr:rowOff>180975</xdr:rowOff>
    </xdr:from>
    <xdr:ext cx="7820025" cy="4838700"/>
    <xdr:pic>
      <xdr:nvPicPr>
        <xdr:cNvPr id="1524368132" name="Chart5" title="Diagramm">
          <a:extLst>
            <a:ext uri="{FF2B5EF4-FFF2-40B4-BE49-F238E27FC236}">
              <a16:creationId xmlns:a16="http://schemas.microsoft.com/office/drawing/2014/main" id="{00000000-0008-0000-0700-00000403DC5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36</xdr:col>
      <xdr:colOff>304800</xdr:colOff>
      <xdr:row>151</xdr:row>
      <xdr:rowOff>152400</xdr:rowOff>
    </xdr:from>
    <xdr:ext cx="5715000" cy="3533775"/>
    <xdr:pic>
      <xdr:nvPicPr>
        <xdr:cNvPr id="327655251" name="Chart6" title="Diagramm">
          <a:extLst>
            <a:ext uri="{FF2B5EF4-FFF2-40B4-BE49-F238E27FC236}">
              <a16:creationId xmlns:a16="http://schemas.microsoft.com/office/drawing/2014/main" id="{00000000-0008-0000-0700-0000539F871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d.mm/" TargetMode="External"/><Relationship Id="rId2" Type="http://schemas.openxmlformats.org/officeDocument/2006/relationships/hyperlink" Target="https://github.com/Rootthecause/DCDC/issues" TargetMode="External"/><Relationship Id="rId1" Type="http://schemas.openxmlformats.org/officeDocument/2006/relationships/hyperlink" Target="https://github.com/Rootthecause/DCD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google.com/url?q=https://web.archive.org/web/20240921205223/https://www.tdk-electronics.tdk.com/download/540066/dbcde584d155cc270f5d5dbf1efec233/pdf-generaldefinitions.pdf&amp;sa=D&amp;source=docs&amp;ust=1737422587489151&amp;usg=AOvVaw35U7volzbAcFVyTD9P00yT"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mouser.de/ProductDetail/Infineon-Technologies/IMBG65R020M2HXTMA1?qs=mELouGlnn3dAXWQ4f510vQ%3D%3D" TargetMode="External"/><Relationship Id="rId18" Type="http://schemas.openxmlformats.org/officeDocument/2006/relationships/hyperlink" Target="https://www.mouser.de/ProductDetail/onsemi/NTH4L022N120M3S?qs=7D1LtPJG0i3AbEjjEp3mXA%3D%3D" TargetMode="External"/><Relationship Id="rId26" Type="http://schemas.openxmlformats.org/officeDocument/2006/relationships/hyperlink" Target="https://www.mouser.de/ProductDetail/Infineon-Technologies/IMBF170R450M1XTMA1?qs=GedFDFLaBXFtPqcGQB0Feg%3D%3D" TargetMode="External"/><Relationship Id="rId39" Type="http://schemas.openxmlformats.org/officeDocument/2006/relationships/hyperlink" Target="https://www.mouser.de/ProductDetail/onsemi/NTMFS5C628NLT3G?qs=tCMd4XlZ%2FiAfCKTal%2Fmd8w%3D%3D" TargetMode="External"/><Relationship Id="rId21" Type="http://schemas.openxmlformats.org/officeDocument/2006/relationships/hyperlink" Target="https://www.mouser.de/ProductDetail/onsemi/NVBG095N65S3F?qs=vvQtp7zwQdN4LeBBypDzZg%3D%3D" TargetMode="External"/><Relationship Id="rId34" Type="http://schemas.openxmlformats.org/officeDocument/2006/relationships/hyperlink" Target="https://www.mouser.de/ProductDetail/Infineon-Technologies/ISC025N08NM5LF2ATMA1?qs=mELouGlnn3dAp8bWfQzBtw%3D%3D" TargetMode="External"/><Relationship Id="rId42" Type="http://schemas.openxmlformats.org/officeDocument/2006/relationships/hyperlink" Target="https://www.mouser.de/ProductDetail/Nexperia/GANE3R9-150QBAZ?qs=2wMNvWM5ZX6apnXG90NyGg%3D%3D" TargetMode="External"/><Relationship Id="rId47" Type="http://schemas.openxmlformats.org/officeDocument/2006/relationships/hyperlink" Target="https://www.mouser.de/ProductDetail/Infineon-Technologies/BSC034N06NSATMA1?qs=WkdRfq4wf1Mx6O2FQ7xjpw%3D%3D" TargetMode="External"/><Relationship Id="rId50" Type="http://schemas.openxmlformats.org/officeDocument/2006/relationships/hyperlink" Target="https://www.mouser.de/ProductDetail/onsemi/NVMFWS3D6N10MCLT1G?qs=sPbYRqrBIVmiQ6ca7hlsoQ%3D%3D" TargetMode="External"/><Relationship Id="rId55" Type="http://schemas.openxmlformats.org/officeDocument/2006/relationships/hyperlink" Target="https://www.mouser.de/ProductDetail/Toshiba/TPH7R006PLL1Q?qs=bUPhaerQQeGuknE1j3OfAg%3D%3D" TargetMode="External"/><Relationship Id="rId63" Type="http://schemas.openxmlformats.org/officeDocument/2006/relationships/vmlDrawing" Target="../drawings/vmlDrawing5.vml"/><Relationship Id="rId7" Type="http://schemas.openxmlformats.org/officeDocument/2006/relationships/hyperlink" Target="https://www.mouser.de/ProductDetail/Qorvo/UF3C065080B7S?qs=eP2BKZSCXI52MQCIgfDd5g%3D%3D" TargetMode="External"/><Relationship Id="rId2" Type="http://schemas.openxmlformats.org/officeDocument/2006/relationships/hyperlink" Target="https://www.mouser.de/ProductDetail/Infineon-Technologies/IGO60R070D1AUMA2?qs=QNEnbhJQKvZ1Bao%252BoPkFBA%3D%3D" TargetMode="External"/><Relationship Id="rId16" Type="http://schemas.openxmlformats.org/officeDocument/2006/relationships/hyperlink" Target="https://www.mouser.de/ProductDetail/Infineon-Technologies/IMBG120R090M1HXTMA1?qs=GedFDFLaBXHAcXtjix4XAQ%3D%3D" TargetMode="External"/><Relationship Id="rId29" Type="http://schemas.openxmlformats.org/officeDocument/2006/relationships/hyperlink" Target="https://www.mouser.de/ProductDetail/Nexperia/GAN3R2-100CBEAZ?qs=3Rah4i%252BhyCGCdd4XaWDeeg%3D%3D" TargetMode="External"/><Relationship Id="rId11" Type="http://schemas.openxmlformats.org/officeDocument/2006/relationships/hyperlink" Target="https://www.mouser.de/ProductDetail/Qorvo/UJ4C075023K4S?qs=e8oIoAS2J1RR9GNiaWcnEw%3D%3D" TargetMode="External"/><Relationship Id="rId24" Type="http://schemas.openxmlformats.org/officeDocument/2006/relationships/hyperlink" Target="https://www.mouser.de/ProductDetail/Infineon-Technologies/IMBG120R008M2HXTMA1?qs=HoCaDK9Nz5cOtB3WtpR7tA%3D%3D" TargetMode="External"/><Relationship Id="rId32" Type="http://schemas.openxmlformats.org/officeDocument/2006/relationships/hyperlink" Target="https://www.mouser.de/ProductDetail/Infineon-Technologies/BSC027N06LS5ATMA1?qs=HXFqYaX1Q2z6vEIhZX7Vzw%3D%3D" TargetMode="External"/><Relationship Id="rId37" Type="http://schemas.openxmlformats.org/officeDocument/2006/relationships/hyperlink" Target="https://www.mouser.de/ProductDetail/Infineon-Technologies/BSC0702LSATMA1?qs=u4fy%2FsgLU9NYVEIY04ctJg%3D%3D" TargetMode="External"/><Relationship Id="rId40" Type="http://schemas.openxmlformats.org/officeDocument/2006/relationships/hyperlink" Target="https://www.mouser.de/ProductDetail/Toshiba/TPH4R008QMLQ?qs=A6eO%252BMLsxmRWyCf40NC%2FOg%3D%3D" TargetMode="External"/><Relationship Id="rId45" Type="http://schemas.openxmlformats.org/officeDocument/2006/relationships/hyperlink" Target="https://www.mouser.de/ProductDetail/onsemi/NVMFS5C645NLAFT1G?qs=5aG0NVq1C4zM5kDvSqEdiQ%3D%3D" TargetMode="External"/><Relationship Id="rId53" Type="http://schemas.openxmlformats.org/officeDocument/2006/relationships/hyperlink" Target="https://www.mouser.de/ProductDetail/Central-Semiconductor/CCSPG1060N-TR-PBFREE?qs=ST9lo4GX8V2r7J7x3i9BPA%3D%3D" TargetMode="External"/><Relationship Id="rId58" Type="http://schemas.openxmlformats.org/officeDocument/2006/relationships/hyperlink" Target="https://www.mouser.de/ProductDetail/Texas-Instruments/CSD19532KTT?qs=8%2FmU9qzJpL%2FRFMJlK8i8YQ%3D%3D" TargetMode="External"/><Relationship Id="rId5" Type="http://schemas.openxmlformats.org/officeDocument/2006/relationships/hyperlink" Target="https://www.mouser.de/ProductDetail/Infineon-Technologies/IMBG65R040M2HXTMA1?qs=mELouGlnn3eNB0TJmS3Z9g%3D%3D" TargetMode="External"/><Relationship Id="rId61" Type="http://schemas.openxmlformats.org/officeDocument/2006/relationships/hyperlink" Target="https://www.mouser.de/ProductDetail/595-CSD19531KCS" TargetMode="External"/><Relationship Id="rId19" Type="http://schemas.openxmlformats.org/officeDocument/2006/relationships/hyperlink" Target="https://www.mouser.de/ProductDetail/Qorvo/UF4SC120023B7S?qs=Z%252BL2brAPG1K82qj40e85mg%3D%3D" TargetMode="External"/><Relationship Id="rId14" Type="http://schemas.openxmlformats.org/officeDocument/2006/relationships/hyperlink" Target="https://www.mouser.de/ProductDetail/Infineon-Technologies/IMBG120R350M1HXTMA1?qs=GedFDFLaBXG1UI%2FlxHchow%3D%3D" TargetMode="External"/><Relationship Id="rId22" Type="http://schemas.openxmlformats.org/officeDocument/2006/relationships/hyperlink" Target="https://www.mouser.de/ProductDetail/Infineon-Technologies/IMBG65R007M2HXTMA1?qs=mELouGlnn3e0xPEIXJ0qYg%3D%3D" TargetMode="External"/><Relationship Id="rId27" Type="http://schemas.openxmlformats.org/officeDocument/2006/relationships/hyperlink" Target="https://www.mouser.de/ProductDetail/IXYS/LSIC1MO170T0750?qs=W%2FMpXkg%252BdQ6KJgxMGwg%252Bvg%3D%3D" TargetMode="External"/><Relationship Id="rId30" Type="http://schemas.openxmlformats.org/officeDocument/2006/relationships/hyperlink" Target="https://www.mouser.de/ProductDetail/Infineon-Technologies/BSC007N04LS6ATMA1?qs=qSfuJ%252Bfl%2Fd6XRYG4U%2FLAPg%3D%3D&amp;srsltid=AfmBOoo55hMZT9T1dBa8d5xZV88ItmxyAyPQZChvnP2fd1legzmA2jnH" TargetMode="External"/><Relationship Id="rId35" Type="http://schemas.openxmlformats.org/officeDocument/2006/relationships/hyperlink" Target="https://www.mouser.de/ProductDetail/Infineon-Technologies/ISC0702NLSATMA1?qs=iLbezkQI%252BsiPlMb4SWtqrg%3D%3D" TargetMode="External"/><Relationship Id="rId43" Type="http://schemas.openxmlformats.org/officeDocument/2006/relationships/hyperlink" Target="https://www.mouser.de/ProductDetail/Micro-Commercial-Components-MCC/MCACL2D5N06YL-TP?qs=ZcfC38r4PotrmKtVDJPavg%3D%3D" TargetMode="External"/><Relationship Id="rId48" Type="http://schemas.openxmlformats.org/officeDocument/2006/relationships/hyperlink" Target="https://www.mouser.de/ProductDetail/Vishay-Semiconductors/SQJA16EP-T1_GE3?qs=Wj%2FVkw3K%252BMCb7veALwZyxQ%3D%3D" TargetMode="External"/><Relationship Id="rId56" Type="http://schemas.openxmlformats.org/officeDocument/2006/relationships/hyperlink" Target="https://www.mouser.de/ProductDetail/Texas-Instruments/CSD19531Q5AT?qs=hNud%2FORuBR3qbguRykIRFQ%3D%3D" TargetMode="External"/><Relationship Id="rId64" Type="http://schemas.openxmlformats.org/officeDocument/2006/relationships/comments" Target="../comments5.xml"/><Relationship Id="rId8" Type="http://schemas.openxmlformats.org/officeDocument/2006/relationships/hyperlink" Target="https://www.mouser.de/ProductDetail/Qorvo/UJ4C075060B7S?qs=tlsG%2FOw5FFgNjGU0KLro2w%3D%3D" TargetMode="External"/><Relationship Id="rId51" Type="http://schemas.openxmlformats.org/officeDocument/2006/relationships/hyperlink" Target="https://www.mouser.de/ProductDetail/Texas-Instruments/CSD19535KTTT?qs=MiqG6Kq1qKNxU2F484Q6Ww%3D%3D" TargetMode="External"/><Relationship Id="rId3" Type="http://schemas.openxmlformats.org/officeDocument/2006/relationships/hyperlink" Target="https://www.mouser.de/ProductDetail/GaN-Systems/GS66504B-MR?qs=OlC7AqGiEDmkLttA%2F6AlIA%3D%3D" TargetMode="External"/><Relationship Id="rId12" Type="http://schemas.openxmlformats.org/officeDocument/2006/relationships/hyperlink" Target="https://www.mouser.de/ProductDetail/Infineon-Technologies/IMBG120R220M1HXTMA1?qs=GedFDFLaBXHN%252BqgPRlMYSQ%3D%3D" TargetMode="External"/><Relationship Id="rId17" Type="http://schemas.openxmlformats.org/officeDocument/2006/relationships/hyperlink" Target="https://www.mouser.de/ProductDetail/Infineon-Technologies/IMBG120R060M1HXTMA1?qs=GedFDFLaBXEwFQzCFlHaKQ%3D%3D" TargetMode="External"/><Relationship Id="rId25" Type="http://schemas.openxmlformats.org/officeDocument/2006/relationships/hyperlink" Target="https://www.mouser.de/ProductDetail/Infineon-Technologies/IPD70R360P7SAUMA1?qs=KuGazDKa6A7NZ4kbDDKXAg%3D%3D" TargetMode="External"/><Relationship Id="rId33" Type="http://schemas.openxmlformats.org/officeDocument/2006/relationships/hyperlink" Target="https://www.mouser.de/ProductDetail/Infineon-Technologies/ISC015N06NM5LF2ATMA1?qs=mELouGlnn3f6aaFmTz2%2Fzg%3D%3D" TargetMode="External"/><Relationship Id="rId38" Type="http://schemas.openxmlformats.org/officeDocument/2006/relationships/hyperlink" Target="https://www.mouser.de/ProductDetail/onsemi/NTMFS3D0N08XT1G?qs=mELouGlnn3d3HYnimZjM7w%3D%3D" TargetMode="External"/><Relationship Id="rId46" Type="http://schemas.openxmlformats.org/officeDocument/2006/relationships/hyperlink" Target="https://www.mouser.de/ProductDetail/Infineon-Technologies/IAUC120N06S5L032ATMA1?qs=GedFDFLaBXHKrtNXypUgYw%3D%3D" TargetMode="External"/><Relationship Id="rId59" Type="http://schemas.openxmlformats.org/officeDocument/2006/relationships/hyperlink" Target="https://www.mouser.de/ProductDetail/Infineon-Technologies/GS61008P-TR?qs=bAKSY%2FctAC5hlGJWatyECA%3D%3D" TargetMode="External"/><Relationship Id="rId20" Type="http://schemas.openxmlformats.org/officeDocument/2006/relationships/hyperlink" Target="https://www.mouser.de/ProductDetail/Infineon-Technologies/IMBG120R030M1HXTMA1?qs=GedFDFLaBXEaX7SES5WVqA%3D%3D" TargetMode="External"/><Relationship Id="rId41" Type="http://schemas.openxmlformats.org/officeDocument/2006/relationships/hyperlink" Target="https://www.mouser.de/ProductDetail/Infineon-Technologies/BSC028N06NS?qs=EUA%2Fg8wssK3HptIwN0%252BK7A%3D%3D" TargetMode="External"/><Relationship Id="rId54" Type="http://schemas.openxmlformats.org/officeDocument/2006/relationships/hyperlink" Target="https://www.mouser.de/ProductDetail/771-GAN7R0-150LBEZ" TargetMode="External"/><Relationship Id="rId62" Type="http://schemas.openxmlformats.org/officeDocument/2006/relationships/hyperlink" Target="https://www.mouser.de/ProductDetail/Infineon-Technologies/GS61004B-MR?qs=OlC7AqGiEDkQI26Ffzps3A%3D%3D" TargetMode="External"/><Relationship Id="rId1" Type="http://schemas.openxmlformats.org/officeDocument/2006/relationships/hyperlink" Target="https://www.mouser.de/ProductDetail/GaN-Systems/GS66516B-TR?qs=bAKSY%2FctAC6Ogse9hLGZwg%3D%3D" TargetMode="External"/><Relationship Id="rId6" Type="http://schemas.openxmlformats.org/officeDocument/2006/relationships/hyperlink" Target="https://www.mouser.de/ProductDetail/Infineon-Technologies/IMDQ75R140M1HXUMA1?qs=mELouGlnn3e%2FG7W7hRl0IQ%3D%3D" TargetMode="External"/><Relationship Id="rId15" Type="http://schemas.openxmlformats.org/officeDocument/2006/relationships/hyperlink" Target="https://www.mouser.de/ProductDetail/STMicroelectronics/SCT055HU65G3AG?qs=amGC7iS6iy%252BmvA31UWzWZg%3D%3D" TargetMode="External"/><Relationship Id="rId23" Type="http://schemas.openxmlformats.org/officeDocument/2006/relationships/hyperlink" Target="https://www.mouser.de/datasheet/2/308/1/NTH4L014N120M3P_D-3150583.pdf" TargetMode="External"/><Relationship Id="rId28" Type="http://schemas.openxmlformats.org/officeDocument/2006/relationships/hyperlink" Target="https://www.mouser.de/ProductDetail/Infineon-Technologies/IMBF170R1K0M1XTMA1?qs=GedFDFLaBXEkQ0MG%2FVnbOQ%3D%3D" TargetMode="External"/><Relationship Id="rId36" Type="http://schemas.openxmlformats.org/officeDocument/2006/relationships/hyperlink" Target="https://www.mouser.de/ProductDetail/STMicroelectronics/STL140N6F7?qs=4b8myOmUP%252Bt7bSWaLPztSg%3D%3D" TargetMode="External"/><Relationship Id="rId49" Type="http://schemas.openxmlformats.org/officeDocument/2006/relationships/hyperlink" Target="https://www.mouser.de/ProductDetail/Infineon-Technologies/BSC034N10LS5ATMA1?qs=l7cgNqFNU1i%2FpRLI2lWRSw%3D%3D" TargetMode="External"/><Relationship Id="rId57" Type="http://schemas.openxmlformats.org/officeDocument/2006/relationships/hyperlink" Target="https://www.mouser.de/ProductDetail/Infineon-Technologies/IRFR7540TRPBF?qs=NBFAU1oqP4UDZQjtpL9DJA%3D%3D" TargetMode="External"/><Relationship Id="rId10" Type="http://schemas.openxmlformats.org/officeDocument/2006/relationships/hyperlink" Target="https://www.mouser.de/ProductDetail/Infineon-Technologies/AIMBG120R080M1XTMA1?qs=Znm5pLBrcAIs2S74r7i%2Frw%3D%3D" TargetMode="External"/><Relationship Id="rId31" Type="http://schemas.openxmlformats.org/officeDocument/2006/relationships/hyperlink" Target="https://www.mouser.de/ProductDetail/onsemi/NVMFWS1D5N08XT1G?qs=jRuttqqUwMTJTVmBLgLsGw%3D%3D" TargetMode="External"/><Relationship Id="rId44" Type="http://schemas.openxmlformats.org/officeDocument/2006/relationships/hyperlink" Target="https://www.mouser.de/ProductDetail/onsemi/NVMFWS3D0N08XT1G?qs=i8QVZAFTkqQDm1Y037f9wQ%3D%3D" TargetMode="External"/><Relationship Id="rId52" Type="http://schemas.openxmlformats.org/officeDocument/2006/relationships/hyperlink" Target="https://www.mouser.de/ProductDetail/Texas-Instruments/CSD18531Q5A?qs=yHb6XuIhq3cAwE3tw9WTPg%3D%3D" TargetMode="External"/><Relationship Id="rId60" Type="http://schemas.openxmlformats.org/officeDocument/2006/relationships/hyperlink" Target="https://www.mouser.de/ProductDetail/onsemi/NTB7D3N15MC?qs=iLbezkQI%252Bsggb2GNRyvdwQ%3D%3D" TargetMode="External"/><Relationship Id="rId4" Type="http://schemas.openxmlformats.org/officeDocument/2006/relationships/hyperlink" Target="https://www.mouser.de/ProductDetail/Infineon-Technologies/IMBG65R050M2HXTMA1?qs=mELouGlnn3dkZTVPBkW2JQ%3D%3D" TargetMode="External"/><Relationship Id="rId9" Type="http://schemas.openxmlformats.org/officeDocument/2006/relationships/hyperlink" Target="https://www.mouser.de/ProductDetail/Infineon-Technologies/IMBG65R048M1HXTMA1?qs=XAiT9M5g4x%252BtPH6zIJhCOg%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K46"/>
  <sheetViews>
    <sheetView workbookViewId="0"/>
  </sheetViews>
  <sheetFormatPr defaultColWidth="12.7109375" defaultRowHeight="15.75" customHeight="1"/>
  <sheetData>
    <row r="2" spans="2:11" ht="15.75" customHeight="1">
      <c r="B2" s="1" t="s">
        <v>0</v>
      </c>
    </row>
    <row r="3" spans="2:11" ht="15.75" customHeight="1">
      <c r="B3" s="2" t="s">
        <v>1</v>
      </c>
    </row>
    <row r="4" spans="2:11">
      <c r="B4" s="3" t="s">
        <v>2</v>
      </c>
      <c r="C4" s="4">
        <v>45797</v>
      </c>
    </row>
    <row r="6" spans="2:11">
      <c r="B6" s="393" t="s">
        <v>3</v>
      </c>
      <c r="C6" s="399"/>
      <c r="D6" s="399"/>
      <c r="E6" s="399"/>
      <c r="F6" s="399"/>
    </row>
    <row r="7" spans="2:11">
      <c r="B7" s="5"/>
      <c r="C7" s="5"/>
      <c r="D7" s="5"/>
      <c r="E7" s="5"/>
      <c r="F7" s="5"/>
    </row>
    <row r="8" spans="2:11">
      <c r="B8" s="3" t="s">
        <v>4</v>
      </c>
    </row>
    <row r="9" spans="2:11">
      <c r="B9" s="5"/>
      <c r="C9" s="5"/>
      <c r="D9" s="5"/>
      <c r="E9" s="5"/>
      <c r="F9" s="5"/>
    </row>
    <row r="10" spans="2:11">
      <c r="B10" s="394" t="s">
        <v>5</v>
      </c>
      <c r="C10" s="399"/>
      <c r="D10" s="399"/>
      <c r="E10" s="399"/>
      <c r="F10" s="399"/>
    </row>
    <row r="11" spans="2:11">
      <c r="B11" s="5"/>
      <c r="C11" s="5"/>
      <c r="D11" s="5"/>
      <c r="E11" s="5"/>
      <c r="F11" s="5"/>
    </row>
    <row r="12" spans="2:11">
      <c r="B12" s="5"/>
      <c r="C12" s="5"/>
      <c r="D12" s="5"/>
      <c r="E12" s="5"/>
      <c r="F12" s="5"/>
    </row>
    <row r="13" spans="2:11">
      <c r="B13" s="5"/>
      <c r="C13" s="5"/>
      <c r="D13" s="5"/>
      <c r="E13" s="5"/>
      <c r="F13" s="5"/>
    </row>
    <row r="14" spans="2:11">
      <c r="B14" s="6" t="s">
        <v>6</v>
      </c>
      <c r="C14" s="5"/>
      <c r="D14" s="5"/>
      <c r="E14" s="5"/>
      <c r="F14" s="5"/>
    </row>
    <row r="15" spans="2:11">
      <c r="B15" s="7" t="s">
        <v>7</v>
      </c>
      <c r="C15" s="395" t="s">
        <v>8</v>
      </c>
      <c r="D15" s="399"/>
      <c r="E15" s="399"/>
      <c r="F15" s="399"/>
      <c r="G15" s="399"/>
      <c r="H15" s="399"/>
      <c r="I15" s="399"/>
      <c r="J15" s="399"/>
    </row>
    <row r="16" spans="2:11">
      <c r="B16" s="8" t="s">
        <v>9</v>
      </c>
      <c r="C16" s="397" t="s">
        <v>10</v>
      </c>
      <c r="D16" s="399"/>
      <c r="E16" s="399"/>
      <c r="F16" s="399"/>
      <c r="G16" s="399"/>
      <c r="H16" s="399"/>
      <c r="I16" s="9"/>
      <c r="J16" s="9"/>
      <c r="K16" s="9"/>
    </row>
    <row r="17" spans="2:11">
      <c r="B17" s="8"/>
      <c r="C17" s="396"/>
      <c r="D17" s="399"/>
      <c r="E17" s="399"/>
      <c r="F17" s="399"/>
      <c r="G17" s="399"/>
      <c r="H17" s="399"/>
      <c r="I17" s="9"/>
      <c r="J17" s="9"/>
      <c r="K17" s="9"/>
    </row>
    <row r="18" spans="2:11">
      <c r="B18" s="10"/>
      <c r="C18" s="400"/>
      <c r="D18" s="399"/>
      <c r="E18" s="399"/>
      <c r="F18" s="399"/>
      <c r="G18" s="399"/>
      <c r="H18" s="399"/>
      <c r="I18" s="9"/>
      <c r="J18" s="9"/>
      <c r="K18" s="9"/>
    </row>
    <row r="19" spans="2:11">
      <c r="B19" s="10"/>
      <c r="C19" s="400"/>
      <c r="D19" s="399"/>
      <c r="E19" s="399"/>
      <c r="F19" s="399"/>
      <c r="G19" s="399"/>
      <c r="H19" s="399"/>
      <c r="I19" s="9"/>
      <c r="J19" s="9"/>
      <c r="K19" s="9"/>
    </row>
    <row r="20" spans="2:11">
      <c r="B20" s="10"/>
      <c r="C20" s="400"/>
      <c r="D20" s="399"/>
      <c r="E20" s="399"/>
      <c r="F20" s="399"/>
      <c r="G20" s="399"/>
      <c r="H20" s="399"/>
      <c r="I20" s="9"/>
      <c r="J20" s="9"/>
      <c r="K20" s="9"/>
    </row>
    <row r="21" spans="2:11">
      <c r="B21" s="10"/>
      <c r="C21" s="400"/>
      <c r="D21" s="399"/>
      <c r="E21" s="399"/>
      <c r="F21" s="399"/>
      <c r="G21" s="399"/>
      <c r="H21" s="399"/>
      <c r="I21" s="9"/>
      <c r="J21" s="9"/>
      <c r="K21" s="9"/>
    </row>
    <row r="22" spans="2:11">
      <c r="B22" s="10"/>
      <c r="C22" s="400"/>
      <c r="D22" s="399"/>
      <c r="E22" s="399"/>
      <c r="F22" s="399"/>
      <c r="G22" s="399"/>
      <c r="H22" s="399"/>
      <c r="I22" s="9"/>
      <c r="J22" s="9"/>
      <c r="K22" s="9"/>
    </row>
    <row r="23" spans="2:11">
      <c r="B23" s="10"/>
      <c r="C23" s="400"/>
      <c r="D23" s="399"/>
      <c r="E23" s="399"/>
      <c r="F23" s="399"/>
      <c r="G23" s="399"/>
      <c r="H23" s="399"/>
      <c r="I23" s="9"/>
      <c r="J23" s="9"/>
      <c r="K23" s="9"/>
    </row>
    <row r="24" spans="2:11">
      <c r="B24" s="10"/>
      <c r="C24" s="400"/>
      <c r="D24" s="399"/>
      <c r="E24" s="399"/>
      <c r="F24" s="399"/>
      <c r="G24" s="399"/>
      <c r="H24" s="399"/>
      <c r="I24" s="9"/>
      <c r="J24" s="9"/>
      <c r="K24" s="9"/>
    </row>
    <row r="25" spans="2:11">
      <c r="B25" s="10"/>
      <c r="C25" s="400"/>
      <c r="D25" s="399"/>
      <c r="E25" s="399"/>
      <c r="F25" s="399"/>
      <c r="G25" s="399"/>
      <c r="H25" s="399"/>
      <c r="I25" s="9"/>
      <c r="J25" s="9"/>
      <c r="K25" s="9"/>
    </row>
    <row r="26" spans="2:11">
      <c r="B26" s="10"/>
      <c r="C26" s="400"/>
      <c r="D26" s="399"/>
      <c r="E26" s="399"/>
      <c r="F26" s="399"/>
      <c r="G26" s="399"/>
      <c r="H26" s="399"/>
      <c r="I26" s="9"/>
      <c r="J26" s="9"/>
      <c r="K26" s="9"/>
    </row>
    <row r="27" spans="2:11">
      <c r="B27" s="10"/>
      <c r="C27" s="400"/>
      <c r="D27" s="399"/>
      <c r="E27" s="399"/>
      <c r="F27" s="399"/>
      <c r="G27" s="399"/>
      <c r="H27" s="399"/>
      <c r="I27" s="9"/>
      <c r="J27" s="9"/>
      <c r="K27" s="9"/>
    </row>
    <row r="28" spans="2:11">
      <c r="B28" s="10"/>
      <c r="C28" s="400"/>
      <c r="D28" s="399"/>
      <c r="E28" s="399"/>
      <c r="F28" s="399"/>
      <c r="G28" s="399"/>
      <c r="H28" s="399"/>
      <c r="I28" s="9"/>
      <c r="J28" s="9"/>
      <c r="K28" s="9"/>
    </row>
    <row r="29" spans="2:11">
      <c r="B29" s="10"/>
      <c r="C29" s="400"/>
      <c r="D29" s="399"/>
      <c r="E29" s="399"/>
      <c r="F29" s="399"/>
      <c r="G29" s="399"/>
      <c r="H29" s="399"/>
      <c r="I29" s="9"/>
      <c r="J29" s="9"/>
      <c r="K29" s="9"/>
    </row>
    <row r="30" spans="2:11">
      <c r="B30" s="10"/>
      <c r="C30" s="400"/>
      <c r="D30" s="399"/>
      <c r="E30" s="399"/>
      <c r="F30" s="399"/>
      <c r="G30" s="399"/>
      <c r="H30" s="399"/>
      <c r="I30" s="9"/>
      <c r="J30" s="9"/>
      <c r="K30" s="9"/>
    </row>
    <row r="31" spans="2:11">
      <c r="B31" s="10"/>
      <c r="C31" s="400"/>
      <c r="D31" s="399"/>
      <c r="E31" s="399"/>
      <c r="F31" s="399"/>
      <c r="G31" s="399"/>
      <c r="H31" s="399"/>
      <c r="I31" s="9"/>
      <c r="J31" s="9"/>
      <c r="K31" s="9"/>
    </row>
    <row r="32" spans="2:11" ht="13.15">
      <c r="B32" s="10"/>
      <c r="C32" s="400"/>
      <c r="D32" s="399"/>
      <c r="E32" s="399"/>
      <c r="F32" s="399"/>
      <c r="G32" s="399"/>
      <c r="H32" s="399"/>
      <c r="I32" s="9"/>
      <c r="J32" s="9"/>
      <c r="K32" s="9"/>
    </row>
    <row r="33" spans="2:11" ht="13.15">
      <c r="B33" s="10"/>
      <c r="C33" s="400"/>
      <c r="D33" s="399"/>
      <c r="E33" s="399"/>
      <c r="F33" s="399"/>
      <c r="G33" s="399"/>
      <c r="H33" s="399"/>
      <c r="I33" s="9"/>
      <c r="J33" s="9"/>
      <c r="K33" s="9"/>
    </row>
    <row r="34" spans="2:11" ht="13.15">
      <c r="B34" s="10"/>
      <c r="C34" s="400"/>
      <c r="D34" s="399"/>
      <c r="E34" s="399"/>
      <c r="F34" s="399"/>
      <c r="G34" s="399"/>
      <c r="H34" s="399"/>
      <c r="I34" s="9"/>
      <c r="J34" s="9"/>
      <c r="K34" s="9"/>
    </row>
    <row r="35" spans="2:11" ht="13.15">
      <c r="B35" s="10"/>
      <c r="C35" s="400"/>
      <c r="D35" s="399"/>
      <c r="E35" s="399"/>
      <c r="F35" s="399"/>
      <c r="G35" s="399"/>
      <c r="H35" s="399"/>
      <c r="I35" s="9"/>
      <c r="J35" s="9"/>
      <c r="K35" s="9"/>
    </row>
    <row r="36" spans="2:11" ht="13.15">
      <c r="B36" s="10"/>
      <c r="C36" s="400"/>
      <c r="D36" s="399"/>
      <c r="E36" s="399"/>
      <c r="F36" s="399"/>
      <c r="G36" s="399"/>
      <c r="H36" s="399"/>
    </row>
    <row r="37" spans="2:11" ht="13.15">
      <c r="B37" s="9"/>
      <c r="C37" s="400"/>
      <c r="D37" s="399"/>
      <c r="E37" s="399"/>
      <c r="F37" s="399"/>
      <c r="G37" s="399"/>
      <c r="H37" s="399"/>
    </row>
    <row r="38" spans="2:11" ht="13.15">
      <c r="B38" s="9"/>
      <c r="C38" s="400"/>
      <c r="D38" s="399"/>
      <c r="E38" s="399"/>
      <c r="F38" s="399"/>
      <c r="G38" s="399"/>
      <c r="H38" s="399"/>
    </row>
    <row r="39" spans="2:11" ht="13.15">
      <c r="B39" s="9"/>
      <c r="C39" s="400"/>
      <c r="D39" s="399"/>
      <c r="E39" s="399"/>
      <c r="F39" s="399"/>
      <c r="G39" s="399"/>
      <c r="H39" s="399"/>
    </row>
    <row r="40" spans="2:11" ht="13.15">
      <c r="B40" s="9"/>
      <c r="C40" s="400"/>
      <c r="D40" s="399"/>
      <c r="E40" s="399"/>
      <c r="F40" s="399"/>
      <c r="G40" s="399"/>
      <c r="H40" s="399"/>
    </row>
    <row r="41" spans="2:11" ht="13.15">
      <c r="B41" s="9"/>
      <c r="C41" s="400"/>
      <c r="D41" s="399"/>
      <c r="E41" s="399"/>
      <c r="F41" s="399"/>
      <c r="G41" s="399"/>
      <c r="H41" s="399"/>
    </row>
    <row r="42" spans="2:11" ht="13.15">
      <c r="B42" s="9"/>
      <c r="C42" s="400"/>
      <c r="D42" s="399"/>
      <c r="E42" s="399"/>
      <c r="F42" s="399"/>
      <c r="G42" s="399"/>
      <c r="H42" s="399"/>
    </row>
    <row r="43" spans="2:11" ht="13.15">
      <c r="B43" s="9"/>
      <c r="C43" s="400"/>
      <c r="D43" s="399"/>
      <c r="E43" s="399"/>
      <c r="F43" s="399"/>
      <c r="G43" s="399"/>
      <c r="H43" s="399"/>
    </row>
    <row r="44" spans="2:11" ht="13.15">
      <c r="B44" s="9"/>
      <c r="C44" s="400"/>
      <c r="D44" s="399"/>
      <c r="E44" s="399"/>
      <c r="F44" s="399"/>
      <c r="G44" s="399"/>
      <c r="H44" s="399"/>
    </row>
    <row r="45" spans="2:11" ht="15.75" customHeight="1">
      <c r="C45" s="399"/>
      <c r="D45" s="399"/>
      <c r="E45" s="399"/>
      <c r="F45" s="399"/>
      <c r="G45" s="399"/>
      <c r="H45" s="399"/>
    </row>
    <row r="46" spans="2:11" ht="15.75" customHeight="1">
      <c r="C46" s="399"/>
      <c r="D46" s="399"/>
      <c r="E46" s="399"/>
      <c r="F46" s="399"/>
      <c r="G46" s="399"/>
      <c r="H46" s="399"/>
    </row>
  </sheetData>
  <mergeCells count="34">
    <mergeCell ref="C45:H45"/>
    <mergeCell ref="C46:H46"/>
    <mergeCell ref="C34:H34"/>
    <mergeCell ref="C35:H35"/>
    <mergeCell ref="C36:H36"/>
    <mergeCell ref="C37:H37"/>
    <mergeCell ref="C38:H38"/>
    <mergeCell ref="C39:H39"/>
    <mergeCell ref="C40:H40"/>
    <mergeCell ref="C33:H33"/>
    <mergeCell ref="C41:H41"/>
    <mergeCell ref="C42:H42"/>
    <mergeCell ref="C43:H43"/>
    <mergeCell ref="C44:H44"/>
    <mergeCell ref="C28:H28"/>
    <mergeCell ref="C29:H29"/>
    <mergeCell ref="C30:H30"/>
    <mergeCell ref="C31:H31"/>
    <mergeCell ref="C32:H32"/>
    <mergeCell ref="C23:H23"/>
    <mergeCell ref="C24:H24"/>
    <mergeCell ref="C25:H25"/>
    <mergeCell ref="C26:H26"/>
    <mergeCell ref="C27:H27"/>
    <mergeCell ref="C19:H19"/>
    <mergeCell ref="C16:H16"/>
    <mergeCell ref="C20:H20"/>
    <mergeCell ref="C21:H21"/>
    <mergeCell ref="C22:H22"/>
    <mergeCell ref="B6:F6"/>
    <mergeCell ref="B10:F10"/>
    <mergeCell ref="C15:J15"/>
    <mergeCell ref="C17:H17"/>
    <mergeCell ref="C18:H18"/>
  </mergeCells>
  <hyperlinks>
    <hyperlink ref="B3" r:id="rId1" xr:uid="{00000000-0004-0000-0000-000000000000}"/>
    <hyperlink ref="B10" r:id="rId2" xr:uid="{00000000-0004-0000-0000-000001000000}"/>
    <hyperlink ref="C16"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27"/>
  <sheetViews>
    <sheetView tabSelected="1" topLeftCell="B1" workbookViewId="0">
      <selection activeCell="C7" sqref="C7"/>
    </sheetView>
  </sheetViews>
  <sheetFormatPr defaultColWidth="12.7109375" defaultRowHeight="15.75" customHeight="1"/>
  <cols>
    <col min="1" max="1" width="8" customWidth="1"/>
    <col min="2" max="2" width="34.7109375" customWidth="1"/>
    <col min="3" max="3" width="165.7109375" bestFit="1" customWidth="1"/>
    <col min="4" max="4" width="12.42578125" customWidth="1"/>
    <col min="5" max="5" width="6.7109375" customWidth="1"/>
    <col min="6" max="6" width="9.7109375" customWidth="1"/>
    <col min="7" max="7" width="9.85546875" customWidth="1"/>
    <col min="9" max="9" width="30.42578125" customWidth="1"/>
    <col min="10" max="10" width="27.7109375" customWidth="1"/>
    <col min="11" max="11" width="13.140625" customWidth="1"/>
    <col min="20" max="20" width="14.7109375" customWidth="1"/>
    <col min="25" max="25" width="15.28515625" customWidth="1"/>
    <col min="26" max="26" width="16" customWidth="1"/>
  </cols>
  <sheetData>
    <row r="1" spans="1:32">
      <c r="A1" s="11"/>
      <c r="B1" s="11"/>
      <c r="C1" s="3"/>
      <c r="D1" s="12"/>
      <c r="E1" s="3"/>
      <c r="F1" s="3"/>
      <c r="G1" s="3"/>
      <c r="H1" s="13"/>
      <c r="I1" s="3"/>
      <c r="J1" s="13"/>
    </row>
    <row r="2" spans="1:32">
      <c r="A2" s="11"/>
      <c r="B2" s="11" t="s">
        <v>11</v>
      </c>
      <c r="C2" s="3" t="s">
        <v>12</v>
      </c>
      <c r="D2" s="12" t="s">
        <v>13</v>
      </c>
      <c r="E2" s="3">
        <f>COUNTA(I4:I202)</f>
        <v>199</v>
      </c>
      <c r="F2" s="3" t="s">
        <v>14</v>
      </c>
      <c r="G2" s="3">
        <f>(202-3)</f>
        <v>199</v>
      </c>
      <c r="H2" s="13">
        <f>E2/G2</f>
        <v>1</v>
      </c>
      <c r="I2" s="3" t="s">
        <v>15</v>
      </c>
      <c r="J2" s="13"/>
    </row>
    <row r="3" spans="1:32">
      <c r="A3" s="11" t="s">
        <v>16</v>
      </c>
      <c r="B3" s="3" t="s">
        <v>17</v>
      </c>
      <c r="C3" s="3" t="s">
        <v>18</v>
      </c>
      <c r="D3" s="14" t="s">
        <v>19</v>
      </c>
      <c r="E3" s="3" t="s">
        <v>20</v>
      </c>
      <c r="H3" s="15" t="s">
        <v>21</v>
      </c>
      <c r="I3" s="3" t="s">
        <v>22</v>
      </c>
      <c r="J3" s="3" t="s">
        <v>23</v>
      </c>
    </row>
    <row r="4" spans="1:32">
      <c r="A4" s="3" t="s">
        <v>24</v>
      </c>
      <c r="B4" s="3" t="s">
        <v>25</v>
      </c>
      <c r="C4" s="3" t="s">
        <v>26</v>
      </c>
      <c r="D4" s="12">
        <v>3.71</v>
      </c>
      <c r="E4" s="3" t="s">
        <v>27</v>
      </c>
      <c r="F4" s="3" t="s">
        <v>28</v>
      </c>
      <c r="G4" s="3" t="s">
        <v>29</v>
      </c>
      <c r="H4" s="15">
        <v>45596</v>
      </c>
      <c r="I4" s="3" t="s">
        <v>30</v>
      </c>
      <c r="J4" s="3" t="s">
        <v>31</v>
      </c>
    </row>
    <row r="5" spans="1:32">
      <c r="A5" s="3"/>
      <c r="B5" s="3" t="s">
        <v>25</v>
      </c>
      <c r="C5" s="3" t="s">
        <v>32</v>
      </c>
      <c r="D5" s="12">
        <v>3.69</v>
      </c>
      <c r="E5" s="3" t="s">
        <v>27</v>
      </c>
      <c r="F5" s="3" t="s">
        <v>28</v>
      </c>
      <c r="G5" s="3" t="s">
        <v>29</v>
      </c>
      <c r="H5" s="15">
        <v>45624</v>
      </c>
      <c r="I5" s="3" t="s">
        <v>30</v>
      </c>
    </row>
    <row r="6" spans="1:32">
      <c r="A6" s="3"/>
      <c r="B6" s="3" t="s">
        <v>25</v>
      </c>
      <c r="C6" s="3" t="s">
        <v>33</v>
      </c>
      <c r="D6" s="12">
        <v>3.68</v>
      </c>
      <c r="E6" s="3" t="s">
        <v>27</v>
      </c>
      <c r="F6" s="3" t="s">
        <v>28</v>
      </c>
      <c r="G6" s="3" t="s">
        <v>29</v>
      </c>
      <c r="H6" s="15">
        <v>45624</v>
      </c>
      <c r="I6" s="3" t="s">
        <v>30</v>
      </c>
    </row>
    <row r="7" spans="1:32">
      <c r="A7" s="3"/>
      <c r="B7" s="3" t="s">
        <v>25</v>
      </c>
      <c r="C7" s="3" t="s">
        <v>34</v>
      </c>
      <c r="D7" s="12">
        <v>3.65</v>
      </c>
      <c r="E7" s="3" t="s">
        <v>27</v>
      </c>
      <c r="F7" s="3" t="s">
        <v>28</v>
      </c>
      <c r="G7" s="3" t="s">
        <v>29</v>
      </c>
      <c r="H7" s="15">
        <v>45597</v>
      </c>
      <c r="I7" s="3" t="s">
        <v>30</v>
      </c>
    </row>
    <row r="8" spans="1:32">
      <c r="A8" s="3"/>
      <c r="B8" s="3" t="s">
        <v>25</v>
      </c>
      <c r="C8" s="3" t="s">
        <v>35</v>
      </c>
      <c r="D8" s="12">
        <v>1.05</v>
      </c>
      <c r="E8" s="3" t="s">
        <v>36</v>
      </c>
      <c r="F8" s="3"/>
      <c r="G8" s="3"/>
      <c r="H8" s="15">
        <v>45597</v>
      </c>
      <c r="I8" s="3" t="s">
        <v>30</v>
      </c>
    </row>
    <row r="9" spans="1:32">
      <c r="A9" s="3" t="s">
        <v>24</v>
      </c>
      <c r="B9" s="3" t="s">
        <v>25</v>
      </c>
      <c r="C9" s="3" t="s">
        <v>37</v>
      </c>
      <c r="D9" s="12">
        <v>22.3</v>
      </c>
      <c r="E9" s="3" t="s">
        <v>36</v>
      </c>
      <c r="F9" s="3"/>
      <c r="G9" s="3"/>
      <c r="H9" s="15">
        <v>45664</v>
      </c>
      <c r="I9" s="3" t="s">
        <v>30</v>
      </c>
    </row>
    <row r="10" spans="1:32">
      <c r="B10" s="3" t="s">
        <v>25</v>
      </c>
      <c r="C10" s="3" t="s">
        <v>38</v>
      </c>
      <c r="D10" s="12">
        <v>50</v>
      </c>
      <c r="E10" s="3" t="s">
        <v>36</v>
      </c>
      <c r="F10" s="3"/>
      <c r="G10" s="3"/>
      <c r="H10" s="15">
        <v>45664</v>
      </c>
      <c r="I10" s="3" t="s">
        <v>30</v>
      </c>
    </row>
    <row r="11" spans="1:32">
      <c r="A11" s="3" t="s">
        <v>24</v>
      </c>
      <c r="B11" s="3" t="s">
        <v>25</v>
      </c>
      <c r="C11" s="3" t="s">
        <v>39</v>
      </c>
      <c r="D11" s="12">
        <v>101</v>
      </c>
      <c r="E11" s="3" t="s">
        <v>36</v>
      </c>
      <c r="F11" s="3"/>
      <c r="G11" s="3"/>
      <c r="H11" s="15">
        <v>45597</v>
      </c>
      <c r="I11" s="3" t="s">
        <v>30</v>
      </c>
    </row>
    <row r="12" spans="1:32">
      <c r="A12" s="3"/>
      <c r="B12" s="3" t="s">
        <v>25</v>
      </c>
      <c r="C12" s="3" t="s">
        <v>40</v>
      </c>
      <c r="D12" s="12">
        <v>198</v>
      </c>
      <c r="E12" s="3" t="s">
        <v>36</v>
      </c>
      <c r="H12" s="15">
        <v>45623</v>
      </c>
      <c r="I12" s="3" t="s">
        <v>30</v>
      </c>
    </row>
    <row r="13" spans="1:32">
      <c r="A13" s="3"/>
      <c r="B13" s="3" t="s">
        <v>25</v>
      </c>
      <c r="C13" s="3" t="s">
        <v>41</v>
      </c>
      <c r="D13" s="12">
        <v>207</v>
      </c>
      <c r="E13" s="3" t="s">
        <v>36</v>
      </c>
      <c r="H13" s="15">
        <v>45623</v>
      </c>
      <c r="I13" s="3" t="s">
        <v>30</v>
      </c>
    </row>
    <row r="14" spans="1:32">
      <c r="A14" s="3"/>
      <c r="B14" s="3" t="s">
        <v>25</v>
      </c>
      <c r="C14" s="3" t="s">
        <v>42</v>
      </c>
      <c r="D14" s="12">
        <v>219</v>
      </c>
      <c r="E14" s="3" t="s">
        <v>36</v>
      </c>
      <c r="H14" s="15">
        <v>45623</v>
      </c>
      <c r="I14" s="3" t="s">
        <v>30</v>
      </c>
    </row>
    <row r="15" spans="1:32">
      <c r="A15" s="3"/>
      <c r="B15" s="3" t="s">
        <v>25</v>
      </c>
      <c r="C15" s="3" t="s">
        <v>43</v>
      </c>
      <c r="D15" s="12">
        <v>236</v>
      </c>
      <c r="E15" s="3" t="s">
        <v>36</v>
      </c>
      <c r="H15" s="15">
        <v>45623</v>
      </c>
      <c r="I15" s="3" t="s">
        <v>30</v>
      </c>
    </row>
    <row r="16" spans="1:32">
      <c r="A16" s="3" t="s">
        <v>24</v>
      </c>
      <c r="B16" s="3" t="s">
        <v>25</v>
      </c>
      <c r="C16" s="3" t="s">
        <v>44</v>
      </c>
      <c r="D16" s="12">
        <v>215</v>
      </c>
      <c r="E16" s="3" t="s">
        <v>36</v>
      </c>
      <c r="H16" s="15">
        <v>45623</v>
      </c>
      <c r="I16" s="3" t="s">
        <v>30</v>
      </c>
      <c r="AD16" s="16"/>
      <c r="AE16" s="16"/>
      <c r="AF16" s="16"/>
    </row>
    <row r="17" spans="1:10">
      <c r="A17" s="3" t="s">
        <v>24</v>
      </c>
      <c r="B17" s="3" t="s">
        <v>45</v>
      </c>
      <c r="C17" s="3" t="s">
        <v>46</v>
      </c>
      <c r="D17" s="12">
        <v>114</v>
      </c>
      <c r="E17" s="3" t="s">
        <v>47</v>
      </c>
      <c r="H17" s="15">
        <v>45597</v>
      </c>
      <c r="I17" s="3" t="s">
        <v>30</v>
      </c>
    </row>
    <row r="18" spans="1:10">
      <c r="A18" s="3"/>
      <c r="B18" s="3" t="s">
        <v>45</v>
      </c>
      <c r="C18" s="3" t="s">
        <v>48</v>
      </c>
      <c r="D18" s="12" t="s">
        <v>49</v>
      </c>
      <c r="E18" s="3" t="s">
        <v>50</v>
      </c>
      <c r="H18" s="15">
        <v>45797</v>
      </c>
      <c r="I18" s="3" t="s">
        <v>30</v>
      </c>
      <c r="J18" s="3" t="s">
        <v>51</v>
      </c>
    </row>
    <row r="19" spans="1:10">
      <c r="A19" s="3"/>
      <c r="B19" s="3" t="s">
        <v>45</v>
      </c>
      <c r="C19" s="3" t="s">
        <v>52</v>
      </c>
      <c r="D19" s="12">
        <v>3.6760000000000002</v>
      </c>
      <c r="E19" s="3" t="s">
        <v>27</v>
      </c>
      <c r="H19" s="15">
        <v>45797</v>
      </c>
      <c r="I19" s="3" t="s">
        <v>30</v>
      </c>
      <c r="J19" s="3"/>
    </row>
    <row r="20" spans="1:10">
      <c r="A20" s="3"/>
      <c r="B20" s="3" t="s">
        <v>25</v>
      </c>
      <c r="C20" s="3" t="s">
        <v>53</v>
      </c>
      <c r="D20" s="12">
        <v>3.5</v>
      </c>
      <c r="E20" s="3" t="s">
        <v>27</v>
      </c>
      <c r="H20" s="15">
        <v>45597</v>
      </c>
      <c r="I20" s="3" t="s">
        <v>30</v>
      </c>
    </row>
    <row r="21" spans="1:10">
      <c r="A21" s="3"/>
      <c r="B21" s="3" t="s">
        <v>45</v>
      </c>
      <c r="C21" s="3" t="s">
        <v>54</v>
      </c>
      <c r="D21" s="12">
        <v>172</v>
      </c>
      <c r="E21" s="3" t="s">
        <v>47</v>
      </c>
      <c r="H21" s="15">
        <v>45597</v>
      </c>
      <c r="I21" s="17" t="s">
        <v>30</v>
      </c>
    </row>
    <row r="22" spans="1:10">
      <c r="A22" s="3"/>
      <c r="B22" s="3" t="s">
        <v>55</v>
      </c>
      <c r="C22" s="3" t="s">
        <v>56</v>
      </c>
      <c r="D22" s="12">
        <v>2.5350000000000001</v>
      </c>
      <c r="E22" s="3" t="s">
        <v>27</v>
      </c>
      <c r="F22" s="3" t="s">
        <v>57</v>
      </c>
      <c r="G22" s="3" t="s">
        <v>58</v>
      </c>
      <c r="H22" s="15">
        <v>45596</v>
      </c>
      <c r="I22" s="3" t="s">
        <v>59</v>
      </c>
      <c r="J22" s="3" t="s">
        <v>60</v>
      </c>
    </row>
    <row r="23" spans="1:10">
      <c r="A23" s="3"/>
      <c r="B23" s="3" t="s">
        <v>61</v>
      </c>
      <c r="C23" s="3" t="s">
        <v>62</v>
      </c>
      <c r="D23" s="12">
        <v>27.8</v>
      </c>
      <c r="E23" s="3" t="s">
        <v>36</v>
      </c>
      <c r="F23" s="3"/>
      <c r="G23" s="3"/>
      <c r="H23" s="15">
        <v>45664</v>
      </c>
      <c r="I23" s="3" t="s">
        <v>30</v>
      </c>
      <c r="J23" s="3"/>
    </row>
    <row r="24" spans="1:10">
      <c r="A24" s="16" t="s">
        <v>24</v>
      </c>
      <c r="B24" s="16" t="s">
        <v>63</v>
      </c>
      <c r="C24" s="3" t="s">
        <v>64</v>
      </c>
      <c r="D24" s="18">
        <v>12.204000000000001</v>
      </c>
      <c r="E24" s="16" t="s">
        <v>27</v>
      </c>
      <c r="F24" s="16"/>
      <c r="G24" s="16"/>
      <c r="H24" s="19">
        <v>45596</v>
      </c>
      <c r="I24" s="17" t="s">
        <v>30</v>
      </c>
      <c r="J24" s="16"/>
    </row>
    <row r="25" spans="1:10">
      <c r="A25" s="3" t="s">
        <v>24</v>
      </c>
      <c r="B25" s="3" t="s">
        <v>65</v>
      </c>
      <c r="C25" s="3" t="s">
        <v>66</v>
      </c>
      <c r="D25" s="12">
        <v>9.0549999999999997</v>
      </c>
      <c r="E25" s="3" t="s">
        <v>27</v>
      </c>
      <c r="F25" s="3"/>
      <c r="G25" s="3"/>
      <c r="H25" s="15">
        <v>45596</v>
      </c>
      <c r="I25" s="3" t="s">
        <v>30</v>
      </c>
      <c r="J25" s="3"/>
    </row>
    <row r="26" spans="1:10">
      <c r="A26" s="3" t="s">
        <v>24</v>
      </c>
      <c r="B26" s="3" t="s">
        <v>67</v>
      </c>
      <c r="C26" s="3" t="s">
        <v>62</v>
      </c>
      <c r="D26" s="12">
        <v>12.475</v>
      </c>
      <c r="E26" s="3" t="s">
        <v>27</v>
      </c>
      <c r="F26" s="3"/>
      <c r="G26" s="3"/>
      <c r="H26" s="15">
        <v>45596</v>
      </c>
      <c r="I26" s="3" t="s">
        <v>30</v>
      </c>
      <c r="J26" s="3"/>
    </row>
    <row r="27" spans="1:10">
      <c r="A27" s="3" t="s">
        <v>24</v>
      </c>
      <c r="B27" s="3" t="s">
        <v>68</v>
      </c>
      <c r="C27" s="3" t="s">
        <v>62</v>
      </c>
      <c r="D27" s="12">
        <v>11.79</v>
      </c>
      <c r="E27" s="3" t="s">
        <v>27</v>
      </c>
      <c r="F27" s="3"/>
      <c r="G27" s="3"/>
      <c r="H27" s="15">
        <v>45596</v>
      </c>
      <c r="I27" s="3" t="s">
        <v>30</v>
      </c>
      <c r="J27" s="3"/>
    </row>
    <row r="28" spans="1:10">
      <c r="A28" s="3" t="s">
        <v>24</v>
      </c>
      <c r="B28" s="3" t="s">
        <v>69</v>
      </c>
      <c r="C28" s="3" t="s">
        <v>62</v>
      </c>
      <c r="D28" s="12">
        <v>12.108000000000001</v>
      </c>
      <c r="E28" s="3" t="s">
        <v>27</v>
      </c>
      <c r="F28" s="3"/>
      <c r="G28" s="3"/>
      <c r="H28" s="15">
        <v>45596</v>
      </c>
      <c r="I28" s="3" t="s">
        <v>30</v>
      </c>
      <c r="J28" s="3"/>
    </row>
    <row r="29" spans="1:10">
      <c r="A29" s="3"/>
      <c r="B29" s="3" t="s">
        <v>70</v>
      </c>
      <c r="C29" s="3" t="s">
        <v>71</v>
      </c>
      <c r="D29" s="12">
        <v>11.71</v>
      </c>
      <c r="E29" s="3" t="s">
        <v>27</v>
      </c>
      <c r="H29" s="15">
        <v>45624</v>
      </c>
      <c r="I29" s="3" t="s">
        <v>30</v>
      </c>
      <c r="J29" s="3" t="s">
        <v>72</v>
      </c>
    </row>
    <row r="30" spans="1:10">
      <c r="A30" s="3"/>
      <c r="B30" s="3" t="s">
        <v>70</v>
      </c>
      <c r="C30" s="3" t="s">
        <v>73</v>
      </c>
      <c r="D30" s="12">
        <v>11.82</v>
      </c>
      <c r="E30" s="3" t="s">
        <v>27</v>
      </c>
      <c r="H30" s="15">
        <v>45624</v>
      </c>
      <c r="I30" s="3" t="s">
        <v>30</v>
      </c>
      <c r="J30" s="3" t="s">
        <v>72</v>
      </c>
    </row>
    <row r="31" spans="1:10">
      <c r="A31" s="3"/>
      <c r="B31" s="3" t="s">
        <v>70</v>
      </c>
      <c r="C31" s="3" t="s">
        <v>74</v>
      </c>
      <c r="D31" s="3">
        <v>11.96</v>
      </c>
      <c r="E31" s="3" t="s">
        <v>27</v>
      </c>
      <c r="H31" s="15">
        <v>45624</v>
      </c>
      <c r="I31" s="3" t="s">
        <v>30</v>
      </c>
      <c r="J31" s="3" t="s">
        <v>72</v>
      </c>
    </row>
    <row r="32" spans="1:10">
      <c r="A32" s="3"/>
      <c r="B32" s="3" t="s">
        <v>70</v>
      </c>
      <c r="C32" s="3" t="s">
        <v>75</v>
      </c>
      <c r="D32" s="20">
        <v>11.4</v>
      </c>
      <c r="E32" s="3" t="s">
        <v>27</v>
      </c>
      <c r="H32" s="15">
        <v>45624</v>
      </c>
      <c r="I32" s="3" t="s">
        <v>30</v>
      </c>
      <c r="J32" s="3" t="s">
        <v>72</v>
      </c>
    </row>
    <row r="33" spans="1:10">
      <c r="A33" s="3"/>
      <c r="B33" s="3" t="s">
        <v>70</v>
      </c>
      <c r="C33" s="3" t="s">
        <v>76</v>
      </c>
      <c r="D33" s="3">
        <v>10.66</v>
      </c>
      <c r="E33" s="3" t="s">
        <v>27</v>
      </c>
      <c r="H33" s="15">
        <v>45624</v>
      </c>
      <c r="I33" s="3" t="s">
        <v>30</v>
      </c>
      <c r="J33" s="3" t="s">
        <v>72</v>
      </c>
    </row>
    <row r="34" spans="1:10">
      <c r="A34" s="3"/>
      <c r="B34" s="3" t="s">
        <v>77</v>
      </c>
      <c r="C34" s="3" t="s">
        <v>78</v>
      </c>
      <c r="D34" s="12" t="s">
        <v>79</v>
      </c>
      <c r="E34" s="3" t="s">
        <v>80</v>
      </c>
      <c r="H34" s="15">
        <v>45623</v>
      </c>
      <c r="I34" s="3" t="s">
        <v>30</v>
      </c>
      <c r="J34" s="3" t="s">
        <v>81</v>
      </c>
    </row>
    <row r="35" spans="1:10">
      <c r="A35" s="3"/>
      <c r="B35" s="3" t="s">
        <v>77</v>
      </c>
      <c r="C35" s="3" t="s">
        <v>82</v>
      </c>
      <c r="D35" s="12">
        <v>9</v>
      </c>
      <c r="E35" s="3" t="s">
        <v>27</v>
      </c>
      <c r="H35" s="15">
        <v>45623</v>
      </c>
      <c r="I35" s="3" t="s">
        <v>30</v>
      </c>
      <c r="J35" s="3" t="s">
        <v>83</v>
      </c>
    </row>
    <row r="36" spans="1:10">
      <c r="A36" s="3"/>
      <c r="B36" s="3" t="s">
        <v>77</v>
      </c>
      <c r="C36" s="3" t="s">
        <v>84</v>
      </c>
      <c r="D36" s="12">
        <v>7</v>
      </c>
      <c r="E36" s="14" t="s">
        <v>80</v>
      </c>
      <c r="H36" s="15">
        <v>45624</v>
      </c>
      <c r="I36" s="3" t="s">
        <v>30</v>
      </c>
    </row>
    <row r="37" spans="1:10">
      <c r="B37" s="3" t="s">
        <v>77</v>
      </c>
      <c r="C37" s="3" t="s">
        <v>85</v>
      </c>
      <c r="D37" s="12" t="s">
        <v>86</v>
      </c>
      <c r="E37" s="14"/>
      <c r="F37" s="14"/>
      <c r="G37" s="14"/>
      <c r="H37" s="15">
        <v>45624</v>
      </c>
      <c r="I37" s="3" t="s">
        <v>30</v>
      </c>
    </row>
    <row r="38" spans="1:10">
      <c r="A38" s="3"/>
      <c r="B38" s="3" t="s">
        <v>77</v>
      </c>
      <c r="C38" s="3" t="s">
        <v>87</v>
      </c>
      <c r="D38" s="12">
        <v>68</v>
      </c>
      <c r="E38" s="14" t="s">
        <v>80</v>
      </c>
      <c r="F38" s="14"/>
      <c r="G38" s="14"/>
      <c r="H38" s="15">
        <v>45623</v>
      </c>
      <c r="I38" s="3" t="s">
        <v>30</v>
      </c>
    </row>
    <row r="39" spans="1:10">
      <c r="A39" s="3"/>
      <c r="B39" s="3" t="s">
        <v>77</v>
      </c>
      <c r="C39" s="3" t="s">
        <v>88</v>
      </c>
      <c r="D39" s="12">
        <v>103</v>
      </c>
      <c r="E39" s="14" t="s">
        <v>80</v>
      </c>
      <c r="F39" s="14"/>
      <c r="G39" s="14"/>
      <c r="H39" s="15">
        <v>45623</v>
      </c>
      <c r="I39" s="3" t="s">
        <v>30</v>
      </c>
    </row>
    <row r="40" spans="1:10">
      <c r="A40" s="3"/>
      <c r="B40" s="3" t="s">
        <v>77</v>
      </c>
      <c r="C40" s="3" t="s">
        <v>89</v>
      </c>
      <c r="D40" s="12">
        <v>141</v>
      </c>
      <c r="E40" s="14" t="s">
        <v>80</v>
      </c>
      <c r="F40" s="14"/>
      <c r="G40" s="14"/>
      <c r="H40" s="15">
        <v>45623</v>
      </c>
      <c r="I40" s="3" t="s">
        <v>30</v>
      </c>
    </row>
    <row r="41" spans="1:10">
      <c r="A41" s="3"/>
      <c r="B41" s="3" t="s">
        <v>77</v>
      </c>
      <c r="C41" s="3" t="s">
        <v>90</v>
      </c>
      <c r="D41" s="12">
        <v>180</v>
      </c>
      <c r="E41" s="14" t="s">
        <v>80</v>
      </c>
      <c r="F41" s="14"/>
      <c r="G41" s="14"/>
      <c r="H41" s="15">
        <v>45623</v>
      </c>
      <c r="I41" s="3" t="s">
        <v>30</v>
      </c>
    </row>
    <row r="42" spans="1:10">
      <c r="A42" s="3"/>
      <c r="B42" s="3" t="s">
        <v>77</v>
      </c>
      <c r="C42" s="3" t="s">
        <v>91</v>
      </c>
      <c r="D42" s="12">
        <v>221</v>
      </c>
      <c r="E42" s="14" t="s">
        <v>80</v>
      </c>
      <c r="F42" s="14"/>
      <c r="G42" s="14"/>
      <c r="H42" s="15">
        <v>45623</v>
      </c>
      <c r="I42" s="3" t="s">
        <v>30</v>
      </c>
    </row>
    <row r="43" spans="1:10">
      <c r="A43" s="3"/>
      <c r="B43" s="3" t="s">
        <v>92</v>
      </c>
      <c r="C43" s="3" t="s">
        <v>93</v>
      </c>
      <c r="D43" s="21">
        <v>1.5920000000000001</v>
      </c>
      <c r="E43" s="14" t="s">
        <v>47</v>
      </c>
      <c r="F43" s="14"/>
      <c r="G43" s="14"/>
      <c r="H43" s="15">
        <v>45664</v>
      </c>
      <c r="I43" s="3" t="s">
        <v>30</v>
      </c>
    </row>
    <row r="44" spans="1:10">
      <c r="A44" s="3"/>
      <c r="B44" s="3" t="s">
        <v>92</v>
      </c>
      <c r="C44" s="3" t="s">
        <v>94</v>
      </c>
      <c r="D44" s="21">
        <v>2.12</v>
      </c>
      <c r="E44" s="14" t="s">
        <v>47</v>
      </c>
      <c r="F44" s="14"/>
      <c r="G44" s="14"/>
      <c r="H44" s="15">
        <v>45664</v>
      </c>
      <c r="I44" s="3" t="s">
        <v>30</v>
      </c>
    </row>
    <row r="45" spans="1:10">
      <c r="A45" s="3"/>
      <c r="B45" s="3" t="s">
        <v>92</v>
      </c>
      <c r="C45" s="3" t="s">
        <v>95</v>
      </c>
      <c r="D45" s="21">
        <v>2.54</v>
      </c>
      <c r="E45" s="14" t="s">
        <v>47</v>
      </c>
      <c r="F45" s="14"/>
      <c r="G45" s="14"/>
      <c r="H45" s="15">
        <v>45664</v>
      </c>
      <c r="I45" s="3" t="s">
        <v>30</v>
      </c>
    </row>
    <row r="46" spans="1:10">
      <c r="A46" s="3"/>
      <c r="B46" s="3" t="s">
        <v>92</v>
      </c>
      <c r="C46" s="3" t="s">
        <v>96</v>
      </c>
      <c r="D46" s="21">
        <v>2.7949999999999999</v>
      </c>
      <c r="E46" s="14" t="s">
        <v>47</v>
      </c>
      <c r="F46" s="14"/>
      <c r="G46" s="14"/>
      <c r="H46" s="15">
        <v>45664</v>
      </c>
      <c r="I46" s="3" t="s">
        <v>30</v>
      </c>
    </row>
    <row r="47" spans="1:10">
      <c r="A47" s="3"/>
      <c r="B47" s="3" t="s">
        <v>92</v>
      </c>
      <c r="C47" s="3" t="s">
        <v>97</v>
      </c>
      <c r="D47" s="21">
        <v>3.0449999999999999</v>
      </c>
      <c r="E47" s="14" t="s">
        <v>47</v>
      </c>
      <c r="F47" s="14"/>
      <c r="G47" s="14"/>
      <c r="H47" s="15">
        <v>45664</v>
      </c>
      <c r="I47" s="3" t="s">
        <v>30</v>
      </c>
    </row>
    <row r="48" spans="1:10">
      <c r="A48" s="3"/>
      <c r="B48" s="3" t="s">
        <v>98</v>
      </c>
      <c r="C48" s="3" t="s">
        <v>99</v>
      </c>
      <c r="D48" s="12">
        <v>15</v>
      </c>
      <c r="E48" s="3" t="s">
        <v>100</v>
      </c>
      <c r="H48" s="15">
        <v>45623</v>
      </c>
      <c r="I48" s="3" t="s">
        <v>30</v>
      </c>
      <c r="J48" s="22" t="s">
        <v>101</v>
      </c>
    </row>
    <row r="49" spans="1:10">
      <c r="A49" s="3"/>
      <c r="B49" s="3" t="s">
        <v>98</v>
      </c>
      <c r="C49" s="3" t="s">
        <v>102</v>
      </c>
      <c r="D49" s="12">
        <v>28</v>
      </c>
      <c r="E49" s="3" t="s">
        <v>100</v>
      </c>
      <c r="H49" s="15">
        <v>45623</v>
      </c>
      <c r="I49" s="3" t="s">
        <v>30</v>
      </c>
      <c r="J49" s="22" t="s">
        <v>103</v>
      </c>
    </row>
    <row r="50" spans="1:10">
      <c r="A50" s="3"/>
      <c r="B50" s="3" t="s">
        <v>98</v>
      </c>
      <c r="C50" s="3" t="s">
        <v>104</v>
      </c>
      <c r="D50" s="12">
        <v>41</v>
      </c>
      <c r="E50" s="3" t="s">
        <v>100</v>
      </c>
      <c r="H50" s="15">
        <v>45623</v>
      </c>
      <c r="I50" s="3" t="s">
        <v>30</v>
      </c>
      <c r="J50" s="22" t="s">
        <v>105</v>
      </c>
    </row>
    <row r="51" spans="1:10">
      <c r="A51" s="3"/>
      <c r="B51" s="3" t="s">
        <v>98</v>
      </c>
      <c r="C51" s="3" t="s">
        <v>106</v>
      </c>
      <c r="D51" s="12">
        <v>56</v>
      </c>
      <c r="E51" s="3" t="s">
        <v>100</v>
      </c>
      <c r="H51" s="15">
        <v>45623</v>
      </c>
      <c r="I51" s="3" t="s">
        <v>30</v>
      </c>
      <c r="J51" s="22" t="s">
        <v>107</v>
      </c>
    </row>
    <row r="52" spans="1:10">
      <c r="A52" s="3"/>
      <c r="B52" s="3" t="s">
        <v>98</v>
      </c>
      <c r="C52" s="3" t="s">
        <v>108</v>
      </c>
      <c r="D52" s="12">
        <v>75</v>
      </c>
      <c r="E52" s="3" t="s">
        <v>100</v>
      </c>
      <c r="H52" s="15">
        <v>45623</v>
      </c>
      <c r="I52" s="3" t="s">
        <v>30</v>
      </c>
      <c r="J52" s="22" t="s">
        <v>109</v>
      </c>
    </row>
    <row r="53" spans="1:10">
      <c r="A53" s="3"/>
      <c r="B53" s="3" t="s">
        <v>110</v>
      </c>
      <c r="C53" s="3" t="s">
        <v>111</v>
      </c>
      <c r="D53" s="3">
        <v>75</v>
      </c>
      <c r="E53" s="3" t="s">
        <v>112</v>
      </c>
      <c r="H53" s="15">
        <v>45637</v>
      </c>
      <c r="I53" s="3" t="s">
        <v>30</v>
      </c>
    </row>
    <row r="54" spans="1:10">
      <c r="A54" s="3"/>
      <c r="B54" s="3" t="s">
        <v>110</v>
      </c>
      <c r="C54" s="3" t="s">
        <v>113</v>
      </c>
      <c r="D54" s="3">
        <v>151</v>
      </c>
      <c r="E54" s="3" t="s">
        <v>112</v>
      </c>
      <c r="H54" s="15">
        <v>45637</v>
      </c>
      <c r="I54" s="3" t="s">
        <v>30</v>
      </c>
    </row>
    <row r="55" spans="1:10">
      <c r="A55" s="3"/>
      <c r="B55" s="3" t="s">
        <v>110</v>
      </c>
      <c r="C55" s="3" t="s">
        <v>114</v>
      </c>
      <c r="D55" s="3">
        <v>228</v>
      </c>
      <c r="E55" s="3" t="s">
        <v>112</v>
      </c>
      <c r="H55" s="15">
        <v>45637</v>
      </c>
      <c r="I55" s="3" t="s">
        <v>30</v>
      </c>
    </row>
    <row r="56" spans="1:10">
      <c r="A56" s="3"/>
      <c r="B56" s="3" t="s">
        <v>110</v>
      </c>
      <c r="C56" s="3" t="s">
        <v>115</v>
      </c>
      <c r="D56" s="3">
        <v>305</v>
      </c>
      <c r="E56" s="3" t="s">
        <v>112</v>
      </c>
      <c r="H56" s="15">
        <v>45637</v>
      </c>
      <c r="I56" s="3" t="s">
        <v>30</v>
      </c>
    </row>
    <row r="57" spans="1:10">
      <c r="B57" s="3" t="s">
        <v>116</v>
      </c>
      <c r="C57" s="3" t="s">
        <v>117</v>
      </c>
      <c r="D57" s="23">
        <v>40</v>
      </c>
      <c r="E57" s="3" t="s">
        <v>36</v>
      </c>
      <c r="F57" s="20">
        <f>D57*200/1000</f>
        <v>8</v>
      </c>
      <c r="G57" s="3" t="s">
        <v>118</v>
      </c>
      <c r="H57" s="15">
        <v>45664</v>
      </c>
      <c r="I57" s="3" t="s">
        <v>30</v>
      </c>
    </row>
    <row r="58" spans="1:10">
      <c r="B58" s="3" t="s">
        <v>116</v>
      </c>
      <c r="C58" s="3" t="s">
        <v>119</v>
      </c>
      <c r="D58" s="23">
        <v>27.2</v>
      </c>
      <c r="E58" s="3" t="s">
        <v>36</v>
      </c>
      <c r="F58" s="20">
        <f>D58*300/1000</f>
        <v>8.16</v>
      </c>
      <c r="G58" s="3" t="s">
        <v>118</v>
      </c>
      <c r="H58" s="15">
        <v>45664</v>
      </c>
      <c r="I58" s="3" t="s">
        <v>30</v>
      </c>
    </row>
    <row r="59" spans="1:10">
      <c r="A59" s="3" t="s">
        <v>24</v>
      </c>
      <c r="B59" s="3" t="s">
        <v>116</v>
      </c>
      <c r="C59" s="3" t="s">
        <v>120</v>
      </c>
      <c r="D59" s="23">
        <v>20.79</v>
      </c>
      <c r="E59" s="3" t="s">
        <v>36</v>
      </c>
      <c r="F59" s="20">
        <f>D59*400/1000</f>
        <v>8.3160000000000007</v>
      </c>
      <c r="G59" s="3" t="s">
        <v>118</v>
      </c>
      <c r="H59" s="15">
        <v>45664</v>
      </c>
      <c r="I59" s="3" t="s">
        <v>30</v>
      </c>
    </row>
    <row r="60" spans="1:10">
      <c r="A60" s="3" t="s">
        <v>24</v>
      </c>
      <c r="B60" s="3" t="s">
        <v>116</v>
      </c>
      <c r="C60" s="3" t="s">
        <v>121</v>
      </c>
      <c r="D60" s="23">
        <v>16.66</v>
      </c>
      <c r="E60" s="3" t="s">
        <v>36</v>
      </c>
      <c r="F60" s="20">
        <f>D60*500/1000</f>
        <v>8.33</v>
      </c>
      <c r="G60" s="3" t="s">
        <v>118</v>
      </c>
      <c r="H60" s="15">
        <v>45664</v>
      </c>
      <c r="I60" s="3" t="s">
        <v>30</v>
      </c>
    </row>
    <row r="61" spans="1:10">
      <c r="A61" s="3" t="s">
        <v>24</v>
      </c>
      <c r="B61" s="3" t="s">
        <v>116</v>
      </c>
      <c r="C61" s="3" t="s">
        <v>122</v>
      </c>
      <c r="D61" s="24">
        <v>11.337</v>
      </c>
      <c r="E61" s="3" t="s">
        <v>36</v>
      </c>
      <c r="F61" s="20">
        <f>D61*600/1000</f>
        <v>6.8022</v>
      </c>
      <c r="G61" s="3" t="s">
        <v>118</v>
      </c>
      <c r="H61" s="15">
        <v>45664</v>
      </c>
      <c r="I61" s="3" t="s">
        <v>30</v>
      </c>
    </row>
    <row r="62" spans="1:10">
      <c r="A62" s="3"/>
      <c r="B62" s="3" t="s">
        <v>123</v>
      </c>
      <c r="C62" s="3" t="s">
        <v>124</v>
      </c>
      <c r="D62" s="12">
        <v>190.6</v>
      </c>
      <c r="E62" s="3" t="s">
        <v>125</v>
      </c>
      <c r="H62" s="15">
        <v>45624</v>
      </c>
      <c r="I62" s="3" t="s">
        <v>30</v>
      </c>
      <c r="J62" s="3" t="s">
        <v>126</v>
      </c>
    </row>
    <row r="63" spans="1:10">
      <c r="A63" s="3"/>
      <c r="B63" s="3" t="s">
        <v>123</v>
      </c>
      <c r="C63" s="3" t="s">
        <v>127</v>
      </c>
      <c r="D63" s="12">
        <v>263</v>
      </c>
      <c r="E63" s="3" t="s">
        <v>80</v>
      </c>
      <c r="H63" s="15">
        <v>45624</v>
      </c>
      <c r="I63" s="3" t="s">
        <v>30</v>
      </c>
      <c r="J63" s="3" t="s">
        <v>126</v>
      </c>
    </row>
    <row r="64" spans="1:10">
      <c r="A64" s="3" t="s">
        <v>24</v>
      </c>
      <c r="B64" s="3" t="s">
        <v>123</v>
      </c>
      <c r="C64" s="3" t="s">
        <v>128</v>
      </c>
      <c r="D64" s="12">
        <v>347</v>
      </c>
      <c r="E64" s="3" t="s">
        <v>125</v>
      </c>
      <c r="H64" s="15">
        <v>45624</v>
      </c>
      <c r="I64" s="3" t="s">
        <v>30</v>
      </c>
    </row>
    <row r="65" spans="1:10">
      <c r="A65" s="3"/>
      <c r="B65" s="3" t="s">
        <v>123</v>
      </c>
      <c r="C65" s="3" t="s">
        <v>129</v>
      </c>
      <c r="D65" s="12">
        <v>242</v>
      </c>
      <c r="E65" s="3" t="s">
        <v>80</v>
      </c>
      <c r="H65" s="15">
        <v>45624</v>
      </c>
      <c r="I65" s="3" t="s">
        <v>30</v>
      </c>
    </row>
    <row r="66" spans="1:10">
      <c r="A66" s="3"/>
      <c r="B66" s="3" t="s">
        <v>123</v>
      </c>
      <c r="C66" s="3" t="s">
        <v>130</v>
      </c>
      <c r="D66" s="12">
        <v>119</v>
      </c>
      <c r="E66" s="3" t="s">
        <v>131</v>
      </c>
      <c r="F66" s="3"/>
      <c r="G66" s="3"/>
      <c r="H66" s="15">
        <v>45599</v>
      </c>
      <c r="I66" s="3" t="s">
        <v>30</v>
      </c>
    </row>
    <row r="67" spans="1:10">
      <c r="A67" s="3"/>
      <c r="B67" s="3" t="s">
        <v>123</v>
      </c>
      <c r="C67" s="3" t="s">
        <v>132</v>
      </c>
      <c r="D67" s="12">
        <v>274</v>
      </c>
      <c r="E67" s="3" t="s">
        <v>131</v>
      </c>
      <c r="F67" s="3"/>
      <c r="G67" s="3"/>
      <c r="H67" s="15">
        <v>45599</v>
      </c>
      <c r="I67" s="3" t="s">
        <v>30</v>
      </c>
    </row>
    <row r="68" spans="1:10">
      <c r="A68" s="3"/>
      <c r="B68" s="3" t="s">
        <v>123</v>
      </c>
      <c r="C68" s="3" t="s">
        <v>133</v>
      </c>
      <c r="D68" s="12">
        <v>505</v>
      </c>
      <c r="E68" s="3" t="s">
        <v>131</v>
      </c>
      <c r="F68" s="3"/>
      <c r="G68" s="3"/>
      <c r="H68" s="15">
        <v>45599</v>
      </c>
      <c r="I68" s="3" t="s">
        <v>30</v>
      </c>
    </row>
    <row r="69" spans="1:10">
      <c r="A69" s="3"/>
      <c r="B69" s="3" t="s">
        <v>123</v>
      </c>
      <c r="C69" s="3" t="s">
        <v>134</v>
      </c>
      <c r="D69" s="12">
        <v>60</v>
      </c>
      <c r="E69" s="3" t="s">
        <v>135</v>
      </c>
      <c r="F69" s="3"/>
      <c r="G69" s="3"/>
      <c r="H69" s="15">
        <v>45599</v>
      </c>
      <c r="I69" s="3" t="s">
        <v>30</v>
      </c>
    </row>
    <row r="70" spans="1:10">
      <c r="A70" s="3"/>
      <c r="B70" s="3" t="s">
        <v>123</v>
      </c>
      <c r="C70" s="3" t="s">
        <v>136</v>
      </c>
      <c r="D70" s="12">
        <v>80</v>
      </c>
      <c r="E70" s="3" t="s">
        <v>135</v>
      </c>
      <c r="F70" s="3" t="s">
        <v>137</v>
      </c>
      <c r="H70" s="15">
        <v>45664</v>
      </c>
      <c r="I70" s="3" t="s">
        <v>30</v>
      </c>
    </row>
    <row r="71" spans="1:10">
      <c r="B71" s="3" t="s">
        <v>123</v>
      </c>
      <c r="C71" s="3" t="s">
        <v>138</v>
      </c>
      <c r="D71" s="12">
        <v>80</v>
      </c>
      <c r="E71" s="3" t="s">
        <v>135</v>
      </c>
      <c r="F71" s="3" t="s">
        <v>137</v>
      </c>
      <c r="H71" s="15">
        <v>45664</v>
      </c>
      <c r="I71" s="3" t="s">
        <v>30</v>
      </c>
    </row>
    <row r="72" spans="1:10">
      <c r="B72" s="3" t="s">
        <v>123</v>
      </c>
      <c r="C72" s="3" t="s">
        <v>139</v>
      </c>
      <c r="D72" s="12">
        <v>80</v>
      </c>
      <c r="E72" s="3" t="s">
        <v>135</v>
      </c>
      <c r="F72" s="3" t="s">
        <v>137</v>
      </c>
      <c r="H72" s="15">
        <v>45664</v>
      </c>
      <c r="I72" s="3" t="s">
        <v>30</v>
      </c>
    </row>
    <row r="73" spans="1:10">
      <c r="B73" s="3" t="s">
        <v>123</v>
      </c>
      <c r="C73" s="3" t="s">
        <v>140</v>
      </c>
      <c r="D73" s="12">
        <v>80</v>
      </c>
      <c r="E73" s="3" t="s">
        <v>135</v>
      </c>
      <c r="F73" s="3" t="s">
        <v>137</v>
      </c>
      <c r="H73" s="15">
        <v>45664</v>
      </c>
      <c r="I73" s="3" t="s">
        <v>30</v>
      </c>
      <c r="J73" s="3" t="s">
        <v>141</v>
      </c>
    </row>
    <row r="74" spans="1:10">
      <c r="B74" s="3" t="s">
        <v>123</v>
      </c>
      <c r="C74" s="3" t="s">
        <v>142</v>
      </c>
      <c r="D74" s="12">
        <v>80</v>
      </c>
      <c r="E74" s="3" t="s">
        <v>135</v>
      </c>
      <c r="F74" s="3" t="s">
        <v>137</v>
      </c>
      <c r="H74" s="15">
        <v>45664</v>
      </c>
      <c r="I74" s="3" t="s">
        <v>30</v>
      </c>
    </row>
    <row r="75" spans="1:10">
      <c r="A75" s="3"/>
      <c r="B75" s="3" t="s">
        <v>123</v>
      </c>
      <c r="C75" s="3" t="s">
        <v>143</v>
      </c>
      <c r="D75" s="12">
        <v>40</v>
      </c>
      <c r="E75" s="3" t="s">
        <v>125</v>
      </c>
      <c r="F75" s="3"/>
      <c r="G75" s="3"/>
      <c r="H75" s="15">
        <v>45599</v>
      </c>
      <c r="I75" s="3" t="s">
        <v>30</v>
      </c>
    </row>
    <row r="76" spans="1:10">
      <c r="A76" s="3"/>
      <c r="B76" s="3" t="s">
        <v>123</v>
      </c>
      <c r="C76" s="3" t="s">
        <v>144</v>
      </c>
      <c r="D76" s="12">
        <v>20</v>
      </c>
      <c r="E76" s="3" t="s">
        <v>125</v>
      </c>
      <c r="F76" s="3"/>
      <c r="G76" s="3"/>
      <c r="H76" s="15">
        <v>45599</v>
      </c>
      <c r="I76" s="3" t="s">
        <v>30</v>
      </c>
    </row>
    <row r="77" spans="1:10">
      <c r="A77" s="3"/>
      <c r="B77" s="3" t="s">
        <v>123</v>
      </c>
      <c r="C77" s="3" t="s">
        <v>145</v>
      </c>
      <c r="D77" s="12">
        <v>330</v>
      </c>
      <c r="E77" s="3" t="s">
        <v>125</v>
      </c>
      <c r="F77" s="3"/>
      <c r="G77" s="3"/>
      <c r="H77" s="15">
        <v>45599</v>
      </c>
      <c r="I77" s="3" t="s">
        <v>30</v>
      </c>
    </row>
    <row r="78" spans="1:10">
      <c r="A78" s="3" t="s">
        <v>24</v>
      </c>
      <c r="B78" s="3" t="s">
        <v>123</v>
      </c>
      <c r="C78" s="3" t="s">
        <v>146</v>
      </c>
      <c r="D78" s="12">
        <v>90</v>
      </c>
      <c r="E78" s="3" t="s">
        <v>125</v>
      </c>
      <c r="G78" s="3"/>
      <c r="H78" s="15">
        <v>45599</v>
      </c>
      <c r="I78" s="3" t="s">
        <v>30</v>
      </c>
      <c r="J78" s="3" t="s">
        <v>147</v>
      </c>
    </row>
    <row r="79" spans="1:10">
      <c r="A79" s="3"/>
      <c r="B79" s="3" t="s">
        <v>148</v>
      </c>
      <c r="C79" s="3" t="s">
        <v>149</v>
      </c>
      <c r="D79" s="12">
        <v>-4.4800000000000004</v>
      </c>
      <c r="E79" s="3" t="s">
        <v>27</v>
      </c>
      <c r="H79" s="15">
        <v>45624</v>
      </c>
      <c r="I79" s="3" t="s">
        <v>30</v>
      </c>
    </row>
    <row r="80" spans="1:10">
      <c r="A80" s="3"/>
      <c r="B80" s="3" t="s">
        <v>148</v>
      </c>
      <c r="C80" s="3" t="s">
        <v>150</v>
      </c>
      <c r="D80" s="12">
        <v>-5.04</v>
      </c>
      <c r="E80" s="3" t="s">
        <v>27</v>
      </c>
      <c r="H80" s="15">
        <v>45624</v>
      </c>
      <c r="I80" s="3" t="s">
        <v>30</v>
      </c>
    </row>
    <row r="81" spans="1:20">
      <c r="A81" s="3"/>
      <c r="B81" s="3" t="s">
        <v>148</v>
      </c>
      <c r="C81" s="3" t="s">
        <v>151</v>
      </c>
      <c r="D81" s="12">
        <v>-5.34</v>
      </c>
      <c r="E81" s="3" t="s">
        <v>27</v>
      </c>
      <c r="H81" s="15">
        <v>45624</v>
      </c>
      <c r="I81" s="3" t="s">
        <v>30</v>
      </c>
    </row>
    <row r="82" spans="1:20">
      <c r="A82" s="3"/>
      <c r="B82" s="3" t="s">
        <v>148</v>
      </c>
      <c r="C82" s="3" t="s">
        <v>152</v>
      </c>
      <c r="D82" s="12">
        <v>-5.83</v>
      </c>
      <c r="E82" s="3" t="s">
        <v>27</v>
      </c>
      <c r="H82" s="15">
        <v>45624</v>
      </c>
      <c r="I82" s="3" t="s">
        <v>30</v>
      </c>
    </row>
    <row r="83" spans="1:20">
      <c r="A83" s="3"/>
      <c r="B83" s="3" t="s">
        <v>153</v>
      </c>
      <c r="C83" s="3" t="s">
        <v>154</v>
      </c>
      <c r="D83" s="12">
        <v>0.74099999999999999</v>
      </c>
      <c r="E83" s="3" t="s">
        <v>155</v>
      </c>
      <c r="H83" s="15">
        <v>45646</v>
      </c>
      <c r="I83" s="3" t="s">
        <v>30</v>
      </c>
      <c r="J83" s="3" t="s">
        <v>156</v>
      </c>
      <c r="K83" s="25"/>
      <c r="L83" s="25"/>
      <c r="M83" s="25"/>
      <c r="N83" s="25"/>
      <c r="O83" s="25"/>
      <c r="P83" s="25"/>
      <c r="Q83" s="25"/>
      <c r="R83" s="25"/>
      <c r="S83" s="25"/>
      <c r="T83" s="25"/>
    </row>
    <row r="84" spans="1:20">
      <c r="A84" s="3"/>
      <c r="B84" s="3" t="s">
        <v>153</v>
      </c>
      <c r="C84" s="3" t="s">
        <v>154</v>
      </c>
      <c r="D84" s="12">
        <v>7.1</v>
      </c>
      <c r="E84" s="3" t="s">
        <v>157</v>
      </c>
      <c r="H84" s="15">
        <v>45646</v>
      </c>
      <c r="I84" s="3" t="s">
        <v>59</v>
      </c>
      <c r="J84" s="3" t="s">
        <v>156</v>
      </c>
    </row>
    <row r="85" spans="1:20">
      <c r="A85" s="3"/>
      <c r="B85" s="3" t="s">
        <v>153</v>
      </c>
      <c r="C85" s="3" t="s">
        <v>158</v>
      </c>
      <c r="D85" s="12">
        <v>0.96</v>
      </c>
      <c r="E85" s="3" t="s">
        <v>155</v>
      </c>
      <c r="H85" s="15">
        <v>45646</v>
      </c>
      <c r="I85" s="3" t="s">
        <v>30</v>
      </c>
      <c r="J85" s="3" t="s">
        <v>156</v>
      </c>
    </row>
    <row r="86" spans="1:20">
      <c r="A86" s="3"/>
      <c r="B86" s="3" t="s">
        <v>153</v>
      </c>
      <c r="C86" s="3" t="s">
        <v>158</v>
      </c>
      <c r="D86" s="12">
        <v>8.51</v>
      </c>
      <c r="E86" s="3" t="s">
        <v>157</v>
      </c>
      <c r="H86" s="15">
        <v>45646</v>
      </c>
      <c r="I86" s="3" t="s">
        <v>59</v>
      </c>
      <c r="J86" s="3" t="s">
        <v>156</v>
      </c>
    </row>
    <row r="87" spans="1:20">
      <c r="A87" s="3"/>
      <c r="B87" s="3" t="s">
        <v>153</v>
      </c>
      <c r="C87" s="3" t="s">
        <v>159</v>
      </c>
      <c r="D87" s="12">
        <v>0.52</v>
      </c>
      <c r="E87" s="3" t="s">
        <v>155</v>
      </c>
      <c r="H87" s="15">
        <v>45646</v>
      </c>
      <c r="I87" s="3" t="s">
        <v>30</v>
      </c>
      <c r="J87" s="3" t="s">
        <v>156</v>
      </c>
    </row>
    <row r="88" spans="1:20">
      <c r="A88" s="3"/>
      <c r="B88" s="3" t="s">
        <v>153</v>
      </c>
      <c r="C88" s="3" t="s">
        <v>159</v>
      </c>
      <c r="D88" s="12">
        <v>7.86</v>
      </c>
      <c r="E88" s="3" t="s">
        <v>157</v>
      </c>
      <c r="H88" s="15">
        <v>45646</v>
      </c>
      <c r="I88" s="3" t="s">
        <v>59</v>
      </c>
      <c r="J88" s="3" t="s">
        <v>156</v>
      </c>
    </row>
    <row r="89" spans="1:20">
      <c r="A89" s="3"/>
      <c r="B89" s="3" t="s">
        <v>153</v>
      </c>
      <c r="C89" s="3" t="s">
        <v>160</v>
      </c>
      <c r="D89" s="12">
        <v>0.73</v>
      </c>
      <c r="E89" s="3" t="s">
        <v>155</v>
      </c>
      <c r="H89" s="15">
        <v>45646</v>
      </c>
      <c r="I89" s="3" t="s">
        <v>30</v>
      </c>
      <c r="J89" s="3" t="s">
        <v>156</v>
      </c>
      <c r="L89" s="26"/>
    </row>
    <row r="90" spans="1:20">
      <c r="A90" s="3"/>
      <c r="B90" s="3" t="s">
        <v>153</v>
      </c>
      <c r="C90" s="3" t="s">
        <v>160</v>
      </c>
      <c r="D90" s="3">
        <v>6.97</v>
      </c>
      <c r="E90" s="3" t="s">
        <v>157</v>
      </c>
      <c r="H90" s="15">
        <v>45646</v>
      </c>
      <c r="I90" s="3" t="s">
        <v>59</v>
      </c>
      <c r="J90" s="3" t="s">
        <v>156</v>
      </c>
    </row>
    <row r="91" spans="1:20">
      <c r="A91" s="3"/>
      <c r="B91" s="3" t="s">
        <v>153</v>
      </c>
      <c r="C91" s="3" t="s">
        <v>161</v>
      </c>
      <c r="D91" s="12">
        <v>5.56</v>
      </c>
      <c r="E91" s="3" t="s">
        <v>157</v>
      </c>
      <c r="H91" s="15">
        <v>45646</v>
      </c>
      <c r="I91" s="3" t="s">
        <v>59</v>
      </c>
      <c r="J91" s="3" t="s">
        <v>156</v>
      </c>
    </row>
    <row r="92" spans="1:20">
      <c r="A92" s="3"/>
      <c r="B92" s="3" t="s">
        <v>153</v>
      </c>
      <c r="C92" s="3" t="s">
        <v>162</v>
      </c>
      <c r="D92" s="22">
        <v>3</v>
      </c>
      <c r="E92" s="3" t="s">
        <v>157</v>
      </c>
      <c r="H92" s="15">
        <v>45646</v>
      </c>
      <c r="I92" s="3" t="s">
        <v>59</v>
      </c>
      <c r="J92" s="3" t="s">
        <v>156</v>
      </c>
    </row>
    <row r="93" spans="1:20">
      <c r="A93" s="3"/>
      <c r="B93" s="3" t="s">
        <v>163</v>
      </c>
      <c r="C93" s="3" t="s">
        <v>164</v>
      </c>
      <c r="D93" s="12">
        <v>5.0999999999999996</v>
      </c>
      <c r="E93" s="3" t="s">
        <v>165</v>
      </c>
      <c r="H93" s="15">
        <v>45634</v>
      </c>
      <c r="I93" s="3" t="s">
        <v>30</v>
      </c>
      <c r="J93" s="3" t="s">
        <v>166</v>
      </c>
    </row>
    <row r="94" spans="1:20">
      <c r="A94" s="3"/>
      <c r="B94" s="3" t="s">
        <v>163</v>
      </c>
      <c r="C94" s="3" t="s">
        <v>164</v>
      </c>
      <c r="D94" s="12">
        <v>152</v>
      </c>
      <c r="E94" s="3" t="s">
        <v>167</v>
      </c>
      <c r="H94" s="15">
        <v>45634</v>
      </c>
      <c r="I94" s="3" t="s">
        <v>30</v>
      </c>
      <c r="J94" s="3" t="s">
        <v>166</v>
      </c>
    </row>
    <row r="95" spans="1:20">
      <c r="A95" s="3"/>
      <c r="B95" s="3" t="s">
        <v>163</v>
      </c>
      <c r="C95" s="3" t="s">
        <v>168</v>
      </c>
      <c r="D95" s="12">
        <v>9.1</v>
      </c>
      <c r="E95" s="3" t="s">
        <v>165</v>
      </c>
      <c r="H95" s="15">
        <v>45634</v>
      </c>
      <c r="I95" s="3" t="s">
        <v>30</v>
      </c>
      <c r="J95" s="3" t="s">
        <v>169</v>
      </c>
    </row>
    <row r="96" spans="1:20">
      <c r="A96" s="3"/>
      <c r="B96" s="3" t="s">
        <v>163</v>
      </c>
      <c r="C96" s="3" t="s">
        <v>168</v>
      </c>
      <c r="D96" s="12">
        <v>189</v>
      </c>
      <c r="E96" s="3" t="s">
        <v>167</v>
      </c>
      <c r="H96" s="15">
        <v>45634</v>
      </c>
      <c r="I96" s="3" t="s">
        <v>30</v>
      </c>
      <c r="J96" s="3" t="s">
        <v>169</v>
      </c>
    </row>
    <row r="97" spans="1:14">
      <c r="A97" s="3"/>
      <c r="B97" s="3" t="s">
        <v>163</v>
      </c>
      <c r="C97" s="3" t="s">
        <v>170</v>
      </c>
      <c r="D97" s="12">
        <v>13.2</v>
      </c>
      <c r="E97" s="3" t="s">
        <v>165</v>
      </c>
      <c r="H97" s="15">
        <v>45634</v>
      </c>
      <c r="I97" s="3" t="s">
        <v>30</v>
      </c>
      <c r="J97" s="3" t="s">
        <v>171</v>
      </c>
    </row>
    <row r="98" spans="1:14">
      <c r="A98" s="3"/>
      <c r="B98" s="3" t="s">
        <v>163</v>
      </c>
      <c r="C98" s="3" t="s">
        <v>170</v>
      </c>
      <c r="D98" s="12">
        <v>230</v>
      </c>
      <c r="E98" s="3" t="s">
        <v>167</v>
      </c>
      <c r="H98" s="15">
        <v>45634</v>
      </c>
      <c r="I98" s="3" t="s">
        <v>30</v>
      </c>
      <c r="J98" s="3" t="s">
        <v>171</v>
      </c>
    </row>
    <row r="99" spans="1:14">
      <c r="A99" s="3"/>
      <c r="B99" s="3" t="s">
        <v>163</v>
      </c>
      <c r="C99" s="3" t="s">
        <v>172</v>
      </c>
      <c r="D99" s="12">
        <v>18.899999999999999</v>
      </c>
      <c r="E99" s="3" t="s">
        <v>165</v>
      </c>
      <c r="H99" s="15">
        <v>45634</v>
      </c>
      <c r="I99" s="3" t="s">
        <v>30</v>
      </c>
      <c r="J99" s="3" t="s">
        <v>173</v>
      </c>
    </row>
    <row r="100" spans="1:14">
      <c r="A100" s="3"/>
      <c r="B100" s="3" t="s">
        <v>163</v>
      </c>
      <c r="C100" s="3" t="s">
        <v>172</v>
      </c>
      <c r="D100" s="3">
        <v>310</v>
      </c>
      <c r="E100" s="3" t="s">
        <v>167</v>
      </c>
      <c r="H100" s="15">
        <v>45634</v>
      </c>
      <c r="I100" s="3" t="s">
        <v>30</v>
      </c>
      <c r="J100" s="3" t="s">
        <v>173</v>
      </c>
    </row>
    <row r="101" spans="1:14">
      <c r="A101" s="3" t="s">
        <v>24</v>
      </c>
      <c r="B101" s="3" t="s">
        <v>174</v>
      </c>
      <c r="C101" s="3" t="s">
        <v>175</v>
      </c>
      <c r="D101" s="12" t="s">
        <v>176</v>
      </c>
      <c r="E101" s="3" t="s">
        <v>27</v>
      </c>
      <c r="H101" s="15">
        <v>45623</v>
      </c>
      <c r="I101" s="3" t="s">
        <v>30</v>
      </c>
      <c r="J101" s="3" t="s">
        <v>177</v>
      </c>
      <c r="M101" s="3"/>
      <c r="N101" s="3"/>
    </row>
    <row r="102" spans="1:14">
      <c r="A102" s="3" t="s">
        <v>24</v>
      </c>
      <c r="B102" s="3" t="s">
        <v>174</v>
      </c>
      <c r="C102" s="3" t="s">
        <v>178</v>
      </c>
      <c r="D102" s="12">
        <v>180</v>
      </c>
      <c r="E102" s="3" t="s">
        <v>27</v>
      </c>
      <c r="H102" s="15">
        <v>45623</v>
      </c>
      <c r="I102" s="3" t="s">
        <v>30</v>
      </c>
    </row>
    <row r="103" spans="1:14">
      <c r="A103" s="3"/>
      <c r="B103" s="3" t="s">
        <v>174</v>
      </c>
      <c r="C103" s="3" t="s">
        <v>179</v>
      </c>
      <c r="D103" s="3">
        <v>1.7</v>
      </c>
      <c r="E103" s="3" t="s">
        <v>180</v>
      </c>
      <c r="F103" s="14" t="s">
        <v>181</v>
      </c>
      <c r="H103" s="15">
        <v>45634</v>
      </c>
      <c r="I103" s="3" t="s">
        <v>59</v>
      </c>
    </row>
    <row r="104" spans="1:14">
      <c r="A104" s="3"/>
      <c r="B104" s="3" t="s">
        <v>174</v>
      </c>
      <c r="C104" s="3" t="s">
        <v>182</v>
      </c>
      <c r="D104" s="3">
        <v>0.83</v>
      </c>
      <c r="E104" s="3" t="s">
        <v>180</v>
      </c>
      <c r="F104" s="14" t="s">
        <v>183</v>
      </c>
      <c r="H104" s="15">
        <v>45634</v>
      </c>
      <c r="I104" s="3" t="s">
        <v>30</v>
      </c>
      <c r="M104" s="3"/>
      <c r="N104" s="3"/>
    </row>
    <row r="105" spans="1:14">
      <c r="A105" s="3"/>
      <c r="B105" s="3" t="s">
        <v>174</v>
      </c>
      <c r="C105" s="3" t="s">
        <v>184</v>
      </c>
      <c r="D105" s="12">
        <v>0.34</v>
      </c>
      <c r="E105" s="3" t="s">
        <v>180</v>
      </c>
      <c r="F105" s="14" t="s">
        <v>185</v>
      </c>
      <c r="H105" s="15">
        <v>45634</v>
      </c>
      <c r="I105" s="3" t="s">
        <v>30</v>
      </c>
    </row>
    <row r="106" spans="1:14">
      <c r="A106" s="3"/>
      <c r="B106" s="3" t="s">
        <v>174</v>
      </c>
      <c r="C106" s="3" t="s">
        <v>186</v>
      </c>
      <c r="D106" s="3">
        <v>38</v>
      </c>
      <c r="E106" s="3" t="s">
        <v>187</v>
      </c>
      <c r="F106" s="14" t="s">
        <v>188</v>
      </c>
      <c r="H106" s="15">
        <v>45634</v>
      </c>
      <c r="I106" s="3" t="s">
        <v>30</v>
      </c>
    </row>
    <row r="107" spans="1:14">
      <c r="A107" s="3"/>
      <c r="B107" s="3" t="s">
        <v>174</v>
      </c>
      <c r="C107" s="3" t="s">
        <v>189</v>
      </c>
      <c r="D107" s="3">
        <v>38</v>
      </c>
      <c r="E107" s="3" t="s">
        <v>187</v>
      </c>
      <c r="F107" s="14" t="s">
        <v>190</v>
      </c>
      <c r="H107" s="15">
        <v>45634</v>
      </c>
      <c r="I107" s="3" t="s">
        <v>30</v>
      </c>
    </row>
    <row r="108" spans="1:14">
      <c r="A108" s="3"/>
      <c r="B108" s="3" t="s">
        <v>174</v>
      </c>
      <c r="C108" s="3" t="s">
        <v>191</v>
      </c>
      <c r="D108" s="12">
        <v>43</v>
      </c>
      <c r="E108" s="3" t="s">
        <v>187</v>
      </c>
      <c r="F108" s="14" t="s">
        <v>192</v>
      </c>
      <c r="H108" s="15">
        <v>45634</v>
      </c>
      <c r="I108" s="3" t="s">
        <v>30</v>
      </c>
    </row>
    <row r="109" spans="1:14">
      <c r="A109" s="3" t="s">
        <v>24</v>
      </c>
      <c r="B109" s="3" t="s">
        <v>193</v>
      </c>
      <c r="C109" s="3" t="s">
        <v>194</v>
      </c>
      <c r="D109" s="12">
        <v>199</v>
      </c>
      <c r="E109" s="3" t="s">
        <v>27</v>
      </c>
      <c r="H109" s="15">
        <v>45623</v>
      </c>
      <c r="I109" s="3" t="s">
        <v>30</v>
      </c>
    </row>
    <row r="110" spans="1:14">
      <c r="A110" s="3" t="s">
        <v>24</v>
      </c>
      <c r="B110" s="3" t="s">
        <v>193</v>
      </c>
      <c r="C110" s="3" t="s">
        <v>195</v>
      </c>
      <c r="D110" s="12">
        <v>206</v>
      </c>
      <c r="E110" s="3" t="s">
        <v>27</v>
      </c>
      <c r="H110" s="15">
        <v>45623</v>
      </c>
      <c r="I110" s="3" t="s">
        <v>30</v>
      </c>
    </row>
    <row r="111" spans="1:14">
      <c r="A111" s="3"/>
      <c r="B111" s="3" t="s">
        <v>193</v>
      </c>
      <c r="C111" s="3" t="s">
        <v>196</v>
      </c>
      <c r="D111" s="3">
        <v>234</v>
      </c>
      <c r="E111" s="3" t="s">
        <v>80</v>
      </c>
      <c r="H111" s="15">
        <v>45623</v>
      </c>
      <c r="I111" s="3" t="s">
        <v>30</v>
      </c>
    </row>
    <row r="112" spans="1:14">
      <c r="A112" s="3"/>
      <c r="B112" s="3" t="s">
        <v>193</v>
      </c>
      <c r="C112" s="3" t="s">
        <v>197</v>
      </c>
      <c r="D112" s="3">
        <v>52</v>
      </c>
      <c r="E112" s="3" t="s">
        <v>80</v>
      </c>
      <c r="H112" s="15">
        <v>45623</v>
      </c>
      <c r="I112" s="3" t="s">
        <v>30</v>
      </c>
    </row>
    <row r="113" spans="1:10">
      <c r="A113" s="3"/>
      <c r="B113" s="3" t="s">
        <v>193</v>
      </c>
      <c r="C113" s="3" t="s">
        <v>198</v>
      </c>
      <c r="D113" s="3">
        <v>28</v>
      </c>
      <c r="E113" s="3" t="s">
        <v>80</v>
      </c>
      <c r="H113" s="15">
        <v>45623</v>
      </c>
      <c r="I113" s="3" t="s">
        <v>30</v>
      </c>
    </row>
    <row r="114" spans="1:10">
      <c r="A114" s="3"/>
      <c r="B114" s="3" t="s">
        <v>193</v>
      </c>
      <c r="C114" s="3" t="s">
        <v>199</v>
      </c>
      <c r="D114" s="3">
        <v>19</v>
      </c>
      <c r="E114" s="3" t="s">
        <v>80</v>
      </c>
      <c r="H114" s="15">
        <v>45623</v>
      </c>
      <c r="I114" s="3" t="s">
        <v>30</v>
      </c>
    </row>
    <row r="115" spans="1:10">
      <c r="A115" s="3"/>
      <c r="B115" s="3" t="s">
        <v>193</v>
      </c>
      <c r="C115" s="3" t="s">
        <v>200</v>
      </c>
      <c r="D115" s="3">
        <v>14</v>
      </c>
      <c r="E115" s="3" t="s">
        <v>80</v>
      </c>
      <c r="H115" s="15">
        <v>45623</v>
      </c>
      <c r="I115" s="3" t="s">
        <v>30</v>
      </c>
    </row>
    <row r="116" spans="1:10">
      <c r="A116" s="3" t="s">
        <v>24</v>
      </c>
      <c r="B116" s="3" t="s">
        <v>201</v>
      </c>
      <c r="C116" s="3" t="s">
        <v>202</v>
      </c>
      <c r="D116" s="12">
        <v>609</v>
      </c>
      <c r="E116" s="3" t="s">
        <v>27</v>
      </c>
      <c r="H116" s="15">
        <v>45624</v>
      </c>
      <c r="I116" s="3" t="s">
        <v>30</v>
      </c>
    </row>
    <row r="117" spans="1:10">
      <c r="A117" s="3" t="s">
        <v>24</v>
      </c>
      <c r="B117" s="3" t="s">
        <v>201</v>
      </c>
      <c r="C117" s="3" t="s">
        <v>203</v>
      </c>
      <c r="D117" s="12">
        <v>598</v>
      </c>
      <c r="E117" s="3" t="s">
        <v>27</v>
      </c>
      <c r="H117" s="15">
        <v>45624</v>
      </c>
      <c r="I117" s="3" t="s">
        <v>30</v>
      </c>
    </row>
    <row r="118" spans="1:10">
      <c r="A118" s="3"/>
      <c r="B118" s="3" t="s">
        <v>204</v>
      </c>
      <c r="C118" s="3" t="s">
        <v>205</v>
      </c>
      <c r="D118" s="12">
        <v>290</v>
      </c>
      <c r="E118" s="3" t="s">
        <v>27</v>
      </c>
      <c r="H118" s="15">
        <v>45623</v>
      </c>
      <c r="I118" s="3" t="s">
        <v>206</v>
      </c>
    </row>
    <row r="119" spans="1:10">
      <c r="A119" s="3" t="s">
        <v>24</v>
      </c>
      <c r="B119" s="3" t="s">
        <v>207</v>
      </c>
      <c r="C119" s="3" t="s">
        <v>208</v>
      </c>
      <c r="D119" s="12">
        <v>106.9</v>
      </c>
      <c r="E119" s="3" t="s">
        <v>209</v>
      </c>
      <c r="H119" s="19">
        <v>45611</v>
      </c>
      <c r="I119" s="17" t="s">
        <v>30</v>
      </c>
      <c r="J119" s="27"/>
    </row>
    <row r="120" spans="1:10">
      <c r="A120" s="3" t="s">
        <v>24</v>
      </c>
      <c r="B120" s="3" t="s">
        <v>210</v>
      </c>
      <c r="C120" s="3" t="s">
        <v>208</v>
      </c>
      <c r="D120" s="12">
        <v>104</v>
      </c>
      <c r="E120" s="3" t="s">
        <v>209</v>
      </c>
      <c r="H120" s="19">
        <v>45611</v>
      </c>
      <c r="I120" s="17" t="s">
        <v>30</v>
      </c>
      <c r="J120" s="27"/>
    </row>
    <row r="121" spans="1:10">
      <c r="A121" s="3" t="s">
        <v>24</v>
      </c>
      <c r="B121" s="3" t="s">
        <v>211</v>
      </c>
      <c r="C121" s="3" t="s">
        <v>212</v>
      </c>
      <c r="D121" s="12">
        <v>71</v>
      </c>
      <c r="E121" s="3" t="s">
        <v>209</v>
      </c>
      <c r="H121" s="15">
        <v>45624</v>
      </c>
      <c r="I121" s="3" t="s">
        <v>30</v>
      </c>
    </row>
    <row r="122" spans="1:10">
      <c r="A122" s="3" t="s">
        <v>24</v>
      </c>
      <c r="B122" s="3" t="s">
        <v>213</v>
      </c>
      <c r="C122" s="3" t="s">
        <v>212</v>
      </c>
      <c r="D122" s="12">
        <v>61</v>
      </c>
      <c r="E122" s="3" t="s">
        <v>209</v>
      </c>
      <c r="H122" s="15">
        <v>45624</v>
      </c>
      <c r="I122" s="3" t="s">
        <v>30</v>
      </c>
    </row>
    <row r="123" spans="1:10">
      <c r="A123" s="3" t="s">
        <v>24</v>
      </c>
      <c r="B123" s="3" t="s">
        <v>214</v>
      </c>
      <c r="C123" s="3" t="s">
        <v>215</v>
      </c>
      <c r="D123" s="12" t="s">
        <v>216</v>
      </c>
      <c r="H123" s="15">
        <v>45624</v>
      </c>
      <c r="I123" s="3" t="s">
        <v>30</v>
      </c>
    </row>
    <row r="124" spans="1:10">
      <c r="A124" s="3"/>
      <c r="B124" s="3" t="s">
        <v>217</v>
      </c>
      <c r="C124" s="3" t="s">
        <v>218</v>
      </c>
      <c r="D124" s="3">
        <v>150</v>
      </c>
      <c r="E124" s="3" t="s">
        <v>36</v>
      </c>
      <c r="H124" s="15">
        <v>45634</v>
      </c>
      <c r="I124" s="3" t="s">
        <v>30</v>
      </c>
    </row>
    <row r="125" spans="1:10">
      <c r="A125" s="3"/>
      <c r="B125" s="3" t="s">
        <v>217</v>
      </c>
      <c r="C125" s="3" t="s">
        <v>219</v>
      </c>
      <c r="D125" s="12" t="s">
        <v>220</v>
      </c>
      <c r="H125" s="15">
        <v>45624</v>
      </c>
      <c r="I125" s="3" t="s">
        <v>30</v>
      </c>
    </row>
    <row r="126" spans="1:10">
      <c r="A126" s="3"/>
      <c r="B126" s="3" t="s">
        <v>221</v>
      </c>
      <c r="C126" s="3" t="s">
        <v>219</v>
      </c>
      <c r="D126" s="12" t="s">
        <v>220</v>
      </c>
      <c r="E126" s="3"/>
      <c r="F126" s="3"/>
      <c r="G126" s="3"/>
      <c r="H126" s="15">
        <v>45624</v>
      </c>
      <c r="I126" s="3" t="s">
        <v>30</v>
      </c>
    </row>
    <row r="127" spans="1:10">
      <c r="A127" s="3"/>
      <c r="B127" s="3" t="s">
        <v>222</v>
      </c>
      <c r="C127" s="3" t="s">
        <v>223</v>
      </c>
      <c r="D127" s="3">
        <v>53.4</v>
      </c>
      <c r="E127" s="3" t="s">
        <v>209</v>
      </c>
      <c r="F127" s="3" t="s">
        <v>224</v>
      </c>
      <c r="H127" s="15">
        <v>45634</v>
      </c>
      <c r="I127" s="3" t="s">
        <v>30</v>
      </c>
    </row>
    <row r="128" spans="1:10">
      <c r="A128" s="3"/>
      <c r="B128" s="3" t="s">
        <v>222</v>
      </c>
      <c r="C128" s="3" t="s">
        <v>225</v>
      </c>
      <c r="D128" s="3">
        <v>65.5</v>
      </c>
      <c r="E128" s="3" t="s">
        <v>209</v>
      </c>
      <c r="F128" s="3" t="s">
        <v>224</v>
      </c>
      <c r="H128" s="15">
        <v>45634</v>
      </c>
      <c r="I128" s="3" t="s">
        <v>30</v>
      </c>
    </row>
    <row r="129" spans="1:10">
      <c r="A129" s="3"/>
      <c r="B129" s="3" t="s">
        <v>222</v>
      </c>
      <c r="C129" s="3" t="s">
        <v>226</v>
      </c>
      <c r="D129" s="3">
        <v>77.599999999999994</v>
      </c>
      <c r="E129" s="3" t="s">
        <v>209</v>
      </c>
      <c r="F129" s="3" t="s">
        <v>224</v>
      </c>
      <c r="H129" s="15">
        <v>45634</v>
      </c>
      <c r="I129" s="3" t="s">
        <v>30</v>
      </c>
    </row>
    <row r="130" spans="1:10">
      <c r="A130" s="3"/>
      <c r="B130" s="3" t="s">
        <v>222</v>
      </c>
      <c r="C130" s="3" t="s">
        <v>227</v>
      </c>
      <c r="D130" s="3">
        <v>101.7</v>
      </c>
      <c r="E130" s="3" t="s">
        <v>209</v>
      </c>
      <c r="F130" s="3" t="s">
        <v>224</v>
      </c>
      <c r="H130" s="15">
        <v>45634</v>
      </c>
      <c r="I130" s="3" t="s">
        <v>30</v>
      </c>
    </row>
    <row r="131" spans="1:10">
      <c r="A131" s="3"/>
      <c r="B131" s="3" t="s">
        <v>222</v>
      </c>
      <c r="C131" s="3" t="s">
        <v>228</v>
      </c>
      <c r="D131" s="3">
        <v>102.9</v>
      </c>
      <c r="E131" s="3" t="s">
        <v>209</v>
      </c>
      <c r="F131" s="3" t="s">
        <v>224</v>
      </c>
      <c r="H131" s="15">
        <v>45634</v>
      </c>
      <c r="I131" s="3" t="s">
        <v>30</v>
      </c>
    </row>
    <row r="132" spans="1:10">
      <c r="A132" s="3"/>
      <c r="B132" s="3" t="s">
        <v>222</v>
      </c>
      <c r="C132" s="3" t="s">
        <v>229</v>
      </c>
      <c r="D132" s="3">
        <v>102</v>
      </c>
      <c r="E132" s="3" t="s">
        <v>209</v>
      </c>
      <c r="F132" s="3" t="s">
        <v>224</v>
      </c>
      <c r="H132" s="15">
        <v>45634</v>
      </c>
      <c r="I132" s="3" t="s">
        <v>30</v>
      </c>
    </row>
    <row r="133" spans="1:10">
      <c r="A133" s="3" t="s">
        <v>24</v>
      </c>
      <c r="B133" s="16" t="s">
        <v>230</v>
      </c>
      <c r="C133" s="3" t="s">
        <v>231</v>
      </c>
      <c r="D133" s="3">
        <v>104.7</v>
      </c>
      <c r="E133" s="3" t="s">
        <v>209</v>
      </c>
      <c r="F133" s="3">
        <v>114.5</v>
      </c>
      <c r="G133" s="3" t="s">
        <v>209</v>
      </c>
      <c r="H133" s="15">
        <v>45646</v>
      </c>
      <c r="I133" s="3" t="s">
        <v>30</v>
      </c>
      <c r="J133" s="3" t="s">
        <v>232</v>
      </c>
    </row>
    <row r="134" spans="1:10">
      <c r="A134" s="3"/>
      <c r="B134" s="3" t="s">
        <v>233</v>
      </c>
      <c r="C134" s="3" t="s">
        <v>234</v>
      </c>
      <c r="D134" s="12" t="s">
        <v>235</v>
      </c>
      <c r="H134" s="15">
        <v>45603</v>
      </c>
      <c r="I134" s="3" t="s">
        <v>30</v>
      </c>
    </row>
    <row r="135" spans="1:10">
      <c r="A135" s="3"/>
      <c r="B135" s="3" t="s">
        <v>236</v>
      </c>
      <c r="C135" s="3" t="s">
        <v>237</v>
      </c>
      <c r="D135" s="12">
        <v>1780</v>
      </c>
      <c r="E135" s="3" t="s">
        <v>238</v>
      </c>
      <c r="H135" s="15">
        <v>45603</v>
      </c>
      <c r="I135" s="3" t="s">
        <v>30</v>
      </c>
    </row>
    <row r="136" spans="1:10">
      <c r="A136" s="3"/>
      <c r="B136" s="3" t="s">
        <v>239</v>
      </c>
      <c r="C136" s="3" t="s">
        <v>240</v>
      </c>
      <c r="D136" s="12">
        <v>185</v>
      </c>
      <c r="E136" s="3" t="s">
        <v>238</v>
      </c>
      <c r="H136" s="15">
        <v>45603</v>
      </c>
      <c r="I136" s="3" t="s">
        <v>30</v>
      </c>
    </row>
    <row r="137" spans="1:10">
      <c r="A137" s="3"/>
      <c r="B137" s="3" t="s">
        <v>241</v>
      </c>
      <c r="C137" s="3" t="s">
        <v>240</v>
      </c>
      <c r="D137" s="12">
        <v>165</v>
      </c>
      <c r="E137" s="3" t="s">
        <v>238</v>
      </c>
      <c r="H137" s="15">
        <v>45603</v>
      </c>
      <c r="I137" s="3" t="s">
        <v>30</v>
      </c>
    </row>
    <row r="138" spans="1:10">
      <c r="A138" s="3" t="s">
        <v>24</v>
      </c>
      <c r="B138" s="3" t="s">
        <v>242</v>
      </c>
      <c r="C138" s="3" t="s">
        <v>243</v>
      </c>
      <c r="D138" s="12">
        <v>166.3</v>
      </c>
      <c r="E138" s="3" t="s">
        <v>244</v>
      </c>
      <c r="F138" s="3"/>
      <c r="G138" s="3"/>
      <c r="H138" s="15">
        <v>45603</v>
      </c>
      <c r="I138" s="3" t="s">
        <v>30</v>
      </c>
    </row>
    <row r="139" spans="1:10">
      <c r="A139" s="3" t="s">
        <v>24</v>
      </c>
      <c r="B139" s="3" t="s">
        <v>245</v>
      </c>
      <c r="C139" s="3" t="s">
        <v>246</v>
      </c>
      <c r="D139" s="12">
        <v>56.32</v>
      </c>
      <c r="E139" s="3" t="s">
        <v>244</v>
      </c>
      <c r="F139" s="3"/>
      <c r="G139" s="3"/>
      <c r="H139" s="15">
        <v>45603</v>
      </c>
      <c r="I139" s="3" t="s">
        <v>30</v>
      </c>
    </row>
    <row r="140" spans="1:10">
      <c r="A140" s="3" t="s">
        <v>24</v>
      </c>
      <c r="B140" s="3" t="s">
        <v>245</v>
      </c>
      <c r="C140" s="3" t="s">
        <v>247</v>
      </c>
      <c r="D140" s="12">
        <v>56.11</v>
      </c>
      <c r="E140" s="3" t="s">
        <v>244</v>
      </c>
      <c r="F140" s="3"/>
      <c r="G140" s="3"/>
      <c r="H140" s="15">
        <v>45603</v>
      </c>
      <c r="I140" s="3" t="s">
        <v>30</v>
      </c>
    </row>
    <row r="141" spans="1:10">
      <c r="B141" s="3" t="s">
        <v>245</v>
      </c>
      <c r="C141" s="3" t="s">
        <v>248</v>
      </c>
      <c r="D141" s="12">
        <v>53.85</v>
      </c>
      <c r="E141" s="3" t="s">
        <v>244</v>
      </c>
      <c r="F141" s="3"/>
      <c r="G141" s="3"/>
      <c r="H141" s="15">
        <v>45603</v>
      </c>
      <c r="I141" s="3" t="s">
        <v>30</v>
      </c>
    </row>
    <row r="142" spans="1:10">
      <c r="A142" s="3" t="s">
        <v>24</v>
      </c>
      <c r="B142" s="3" t="s">
        <v>249</v>
      </c>
      <c r="C142" s="3" t="s">
        <v>250</v>
      </c>
      <c r="D142" s="18">
        <v>1.0569999999999999</v>
      </c>
      <c r="E142" s="3" t="s">
        <v>244</v>
      </c>
      <c r="F142" s="3"/>
      <c r="G142" s="3"/>
      <c r="H142" s="15">
        <v>45603</v>
      </c>
      <c r="I142" s="3" t="s">
        <v>30</v>
      </c>
    </row>
    <row r="143" spans="1:10">
      <c r="A143" s="3" t="s">
        <v>24</v>
      </c>
      <c r="B143" s="3" t="s">
        <v>251</v>
      </c>
      <c r="C143" s="3" t="s">
        <v>250</v>
      </c>
      <c r="D143" s="18">
        <v>1.014</v>
      </c>
      <c r="E143" s="3" t="s">
        <v>244</v>
      </c>
      <c r="F143" s="3"/>
      <c r="G143" s="3"/>
      <c r="H143" s="15">
        <v>45603</v>
      </c>
      <c r="I143" s="3" t="s">
        <v>30</v>
      </c>
    </row>
    <row r="144" spans="1:10">
      <c r="A144" s="3" t="s">
        <v>24</v>
      </c>
      <c r="B144" s="3" t="s">
        <v>252</v>
      </c>
      <c r="C144" s="3" t="s">
        <v>250</v>
      </c>
      <c r="D144" s="18">
        <v>0.35570000000000002</v>
      </c>
      <c r="E144" s="3" t="s">
        <v>244</v>
      </c>
      <c r="F144" s="3"/>
      <c r="G144" s="3"/>
      <c r="H144" s="15">
        <v>45603</v>
      </c>
      <c r="I144" s="3" t="s">
        <v>30</v>
      </c>
    </row>
    <row r="145" spans="1:11">
      <c r="A145" s="3" t="s">
        <v>24</v>
      </c>
      <c r="B145" s="3" t="s">
        <v>253</v>
      </c>
      <c r="C145" s="3" t="s">
        <v>250</v>
      </c>
      <c r="D145" s="18">
        <v>0.34960000000000002</v>
      </c>
      <c r="E145" s="3" t="s">
        <v>244</v>
      </c>
      <c r="F145" s="3"/>
      <c r="G145" s="3"/>
      <c r="H145" s="15">
        <v>45603</v>
      </c>
      <c r="I145" s="3" t="s">
        <v>30</v>
      </c>
    </row>
    <row r="146" spans="1:11">
      <c r="A146" s="3"/>
      <c r="B146" s="3" t="s">
        <v>254</v>
      </c>
      <c r="C146" s="3" t="s">
        <v>255</v>
      </c>
      <c r="D146" s="24">
        <f>32.895/1008*1000</f>
        <v>32.633928571428577</v>
      </c>
      <c r="E146" s="3" t="s">
        <v>256</v>
      </c>
      <c r="F146" s="3"/>
      <c r="G146" s="3"/>
      <c r="H146" s="15">
        <v>45603</v>
      </c>
      <c r="I146" s="3" t="s">
        <v>30</v>
      </c>
    </row>
    <row r="147" spans="1:11">
      <c r="A147" s="3"/>
      <c r="B147" s="3" t="s">
        <v>254</v>
      </c>
      <c r="C147" s="3" t="s">
        <v>257</v>
      </c>
      <c r="D147" s="24">
        <f>445.4/10504*1000</f>
        <v>42.402894135567401</v>
      </c>
      <c r="E147" s="3" t="s">
        <v>256</v>
      </c>
      <c r="G147" s="3"/>
      <c r="H147" s="15">
        <v>45603</v>
      </c>
      <c r="I147" s="3" t="s">
        <v>30</v>
      </c>
      <c r="J147" s="3" t="s">
        <v>258</v>
      </c>
      <c r="K147" s="13">
        <f>(D147/D146-1)/(100-21)</f>
        <v>3.7892401363956011E-3</v>
      </c>
    </row>
    <row r="148" spans="1:11">
      <c r="A148" s="3"/>
      <c r="B148" s="3" t="s">
        <v>254</v>
      </c>
      <c r="C148" s="3" t="s">
        <v>259</v>
      </c>
      <c r="D148" s="12">
        <v>140.19999999999999</v>
      </c>
      <c r="E148" s="3" t="s">
        <v>256</v>
      </c>
      <c r="G148" s="3"/>
      <c r="H148" s="15">
        <v>45603</v>
      </c>
      <c r="I148" s="3" t="s">
        <v>30</v>
      </c>
    </row>
    <row r="149" spans="1:11">
      <c r="A149" s="3"/>
      <c r="B149" s="3" t="s">
        <v>254</v>
      </c>
      <c r="C149" s="3" t="s">
        <v>260</v>
      </c>
      <c r="D149" s="12">
        <v>145.4</v>
      </c>
      <c r="E149" s="3" t="s">
        <v>256</v>
      </c>
      <c r="G149" s="3"/>
      <c r="H149" s="15">
        <v>45603</v>
      </c>
      <c r="I149" s="3" t="s">
        <v>30</v>
      </c>
      <c r="K149" s="3"/>
    </row>
    <row r="150" spans="1:11">
      <c r="A150" s="3"/>
      <c r="B150" s="3" t="s">
        <v>254</v>
      </c>
      <c r="C150" s="3" t="s">
        <v>261</v>
      </c>
      <c r="D150" s="12">
        <v>552.6</v>
      </c>
      <c r="E150" s="3" t="s">
        <v>256</v>
      </c>
      <c r="G150" s="3"/>
      <c r="H150" s="15">
        <v>45603</v>
      </c>
      <c r="I150" s="3" t="s">
        <v>30</v>
      </c>
      <c r="K150" s="3"/>
    </row>
    <row r="151" spans="1:11">
      <c r="B151" s="3" t="s">
        <v>254</v>
      </c>
      <c r="C151" s="3" t="s">
        <v>262</v>
      </c>
      <c r="D151" s="12">
        <v>1081</v>
      </c>
      <c r="E151" s="3" t="s">
        <v>256</v>
      </c>
      <c r="G151" s="3"/>
      <c r="H151" s="15">
        <v>45603</v>
      </c>
      <c r="I151" s="3" t="s">
        <v>30</v>
      </c>
      <c r="K151" s="3"/>
    </row>
    <row r="152" spans="1:11">
      <c r="A152" s="3"/>
      <c r="B152" s="3" t="s">
        <v>254</v>
      </c>
      <c r="C152" s="3" t="s">
        <v>263</v>
      </c>
      <c r="D152" s="12">
        <v>14540</v>
      </c>
      <c r="E152" s="3" t="s">
        <v>256</v>
      </c>
      <c r="G152" s="3"/>
      <c r="H152" s="15">
        <v>45603</v>
      </c>
      <c r="I152" s="3" t="s">
        <v>30</v>
      </c>
      <c r="K152" s="3"/>
    </row>
    <row r="153" spans="1:11">
      <c r="A153" s="3"/>
      <c r="B153" s="3" t="s">
        <v>264</v>
      </c>
      <c r="C153" s="3" t="s">
        <v>265</v>
      </c>
      <c r="D153" s="28">
        <f>6.74/5012*1000</f>
        <v>1.3447725458898643</v>
      </c>
      <c r="E153" s="3" t="s">
        <v>256</v>
      </c>
      <c r="G153" s="3"/>
      <c r="H153" s="15">
        <v>45603</v>
      </c>
      <c r="I153" s="3" t="s">
        <v>30</v>
      </c>
      <c r="K153" s="3"/>
    </row>
    <row r="154" spans="1:11">
      <c r="A154" s="3"/>
      <c r="B154" s="3" t="s">
        <v>264</v>
      </c>
      <c r="C154" s="3" t="s">
        <v>266</v>
      </c>
      <c r="D154" s="28">
        <f>30.46/19990*1000</f>
        <v>1.5237618809404703</v>
      </c>
      <c r="E154" s="3" t="s">
        <v>256</v>
      </c>
      <c r="G154" s="3"/>
      <c r="H154" s="15">
        <v>45603</v>
      </c>
      <c r="I154" s="3" t="s">
        <v>30</v>
      </c>
      <c r="J154" s="3" t="s">
        <v>258</v>
      </c>
      <c r="K154" s="13">
        <f>(D154/D153-1)/(57-21)</f>
        <v>3.6972244777185859E-3</v>
      </c>
    </row>
    <row r="155" spans="1:11">
      <c r="A155" s="3"/>
      <c r="B155" s="3" t="s">
        <v>264</v>
      </c>
      <c r="C155" s="3" t="s">
        <v>267</v>
      </c>
      <c r="D155" s="29">
        <v>2.4</v>
      </c>
      <c r="E155" s="3" t="s">
        <v>256</v>
      </c>
      <c r="G155" s="3"/>
      <c r="H155" s="15">
        <v>45603</v>
      </c>
      <c r="I155" s="3" t="s">
        <v>206</v>
      </c>
      <c r="K155" s="3"/>
    </row>
    <row r="156" spans="1:11">
      <c r="A156" s="3"/>
      <c r="B156" s="3" t="s">
        <v>264</v>
      </c>
      <c r="C156" s="3" t="s">
        <v>268</v>
      </c>
      <c r="D156" s="29">
        <v>15.1</v>
      </c>
      <c r="E156" s="3" t="s">
        <v>256</v>
      </c>
      <c r="G156" s="3"/>
      <c r="H156" s="15">
        <v>45603</v>
      </c>
      <c r="I156" s="3" t="s">
        <v>206</v>
      </c>
      <c r="K156" s="3"/>
    </row>
    <row r="157" spans="1:11">
      <c r="A157" s="3"/>
      <c r="B157" s="3" t="s">
        <v>264</v>
      </c>
      <c r="C157" s="3" t="s">
        <v>269</v>
      </c>
      <c r="D157" s="29">
        <v>6.2</v>
      </c>
      <c r="E157" s="3" t="s">
        <v>256</v>
      </c>
      <c r="G157" s="3"/>
      <c r="H157" s="15">
        <v>45603</v>
      </c>
      <c r="I157" s="3" t="s">
        <v>206</v>
      </c>
      <c r="K157" s="3"/>
    </row>
    <row r="158" spans="1:11">
      <c r="B158" s="3" t="s">
        <v>264</v>
      </c>
      <c r="C158" s="3" t="s">
        <v>270</v>
      </c>
      <c r="D158" s="29">
        <v>16.7</v>
      </c>
      <c r="E158" s="3" t="s">
        <v>256</v>
      </c>
      <c r="H158" s="15">
        <v>45603</v>
      </c>
      <c r="I158" s="3" t="s">
        <v>206</v>
      </c>
    </row>
    <row r="159" spans="1:11">
      <c r="A159" s="3"/>
      <c r="B159" s="3" t="s">
        <v>264</v>
      </c>
      <c r="C159" s="3" t="s">
        <v>271</v>
      </c>
      <c r="D159" s="29">
        <v>100.8</v>
      </c>
      <c r="E159" s="3" t="s">
        <v>256</v>
      </c>
      <c r="G159" s="3"/>
      <c r="H159" s="15">
        <v>45603</v>
      </c>
      <c r="I159" s="3" t="s">
        <v>30</v>
      </c>
      <c r="K159" s="3"/>
    </row>
    <row r="160" spans="1:11">
      <c r="A160" s="3"/>
      <c r="B160" s="3" t="s">
        <v>272</v>
      </c>
      <c r="C160" s="3" t="s">
        <v>273</v>
      </c>
      <c r="D160" s="28">
        <f>5.884/5010*1000</f>
        <v>1.1744510978043914</v>
      </c>
      <c r="E160" s="3" t="s">
        <v>256</v>
      </c>
      <c r="G160" s="3"/>
      <c r="H160" s="15">
        <v>45603</v>
      </c>
      <c r="I160" s="3" t="s">
        <v>30</v>
      </c>
      <c r="K160" s="3"/>
    </row>
    <row r="161" spans="1:11">
      <c r="A161" s="3"/>
      <c r="B161" s="3" t="s">
        <v>272</v>
      </c>
      <c r="C161" s="3" t="s">
        <v>274</v>
      </c>
      <c r="D161" s="28">
        <f>27.175/19986*1000</f>
        <v>1.3597017912538778</v>
      </c>
      <c r="E161" s="3" t="s">
        <v>256</v>
      </c>
      <c r="G161" s="3"/>
      <c r="H161" s="15">
        <v>45603</v>
      </c>
      <c r="I161" s="3" t="s">
        <v>30</v>
      </c>
      <c r="J161" s="3" t="s">
        <v>258</v>
      </c>
      <c r="K161" s="13">
        <f>(D161/D160-1)/(66-21)</f>
        <v>3.5051966696197875E-3</v>
      </c>
    </row>
    <row r="162" spans="1:11">
      <c r="A162" s="3"/>
      <c r="B162" s="3" t="s">
        <v>272</v>
      </c>
      <c r="C162" s="3" t="s">
        <v>275</v>
      </c>
      <c r="D162" s="29">
        <v>2.4</v>
      </c>
      <c r="E162" s="3" t="s">
        <v>256</v>
      </c>
      <c r="F162" s="3"/>
      <c r="G162" s="3"/>
      <c r="H162" s="15">
        <v>45603</v>
      </c>
      <c r="I162" s="3" t="s">
        <v>206</v>
      </c>
    </row>
    <row r="163" spans="1:11">
      <c r="A163" s="3"/>
      <c r="B163" s="3" t="s">
        <v>272</v>
      </c>
      <c r="C163" s="3" t="s">
        <v>276</v>
      </c>
      <c r="D163" s="29">
        <v>18.3</v>
      </c>
      <c r="E163" s="3" t="s">
        <v>256</v>
      </c>
      <c r="F163" s="3"/>
      <c r="G163" s="3"/>
      <c r="H163" s="15">
        <v>45603</v>
      </c>
      <c r="I163" s="3" t="s">
        <v>206</v>
      </c>
    </row>
    <row r="164" spans="1:11">
      <c r="A164" s="3"/>
      <c r="B164" s="3" t="s">
        <v>272</v>
      </c>
      <c r="C164" s="3" t="s">
        <v>277</v>
      </c>
      <c r="D164" s="29">
        <v>13.7</v>
      </c>
      <c r="E164" s="3" t="s">
        <v>256</v>
      </c>
      <c r="F164" s="3"/>
      <c r="G164" s="3"/>
      <c r="H164" s="15">
        <v>45603</v>
      </c>
      <c r="I164" s="3" t="s">
        <v>206</v>
      </c>
    </row>
    <row r="165" spans="1:11">
      <c r="B165" s="3" t="s">
        <v>272</v>
      </c>
      <c r="C165" s="3" t="s">
        <v>278</v>
      </c>
      <c r="D165" s="29">
        <v>3.5</v>
      </c>
      <c r="E165" s="3" t="s">
        <v>256</v>
      </c>
      <c r="H165" s="15">
        <v>45603</v>
      </c>
      <c r="I165" s="3" t="s">
        <v>206</v>
      </c>
    </row>
    <row r="166" spans="1:11">
      <c r="A166" s="3"/>
      <c r="B166" s="3" t="s">
        <v>272</v>
      </c>
      <c r="C166" s="3" t="s">
        <v>279</v>
      </c>
      <c r="D166" s="29">
        <v>94.3</v>
      </c>
      <c r="E166" s="3" t="s">
        <v>256</v>
      </c>
      <c r="F166" s="3"/>
      <c r="G166" s="3"/>
      <c r="H166" s="15">
        <v>45603</v>
      </c>
      <c r="I166" s="3" t="s">
        <v>30</v>
      </c>
    </row>
    <row r="167" spans="1:11">
      <c r="A167" s="3"/>
      <c r="B167" s="3" t="s">
        <v>280</v>
      </c>
      <c r="C167" s="3" t="s">
        <v>281</v>
      </c>
      <c r="D167" s="29">
        <f>1.592/0.2012</f>
        <v>7.9125248508946333</v>
      </c>
      <c r="E167" s="3" t="s">
        <v>282</v>
      </c>
      <c r="F167" s="3"/>
      <c r="G167" s="3"/>
      <c r="H167" s="15">
        <v>45603</v>
      </c>
      <c r="I167" s="3" t="s">
        <v>30</v>
      </c>
    </row>
    <row r="168" spans="1:11">
      <c r="A168" s="3"/>
      <c r="B168" s="3" t="s">
        <v>283</v>
      </c>
      <c r="C168" s="3" t="s">
        <v>284</v>
      </c>
      <c r="D168" s="29">
        <v>6.1</v>
      </c>
      <c r="E168" s="3" t="s">
        <v>285</v>
      </c>
      <c r="F168" s="3"/>
      <c r="G168" s="3"/>
      <c r="H168" s="15">
        <v>45603</v>
      </c>
      <c r="I168" s="3" t="s">
        <v>30</v>
      </c>
    </row>
    <row r="169" spans="1:11">
      <c r="A169" s="3"/>
      <c r="B169" s="3" t="s">
        <v>286</v>
      </c>
      <c r="C169" s="3" t="s">
        <v>284</v>
      </c>
      <c r="D169" s="29">
        <v>5.9</v>
      </c>
      <c r="E169" s="3" t="s">
        <v>285</v>
      </c>
      <c r="F169" s="3"/>
      <c r="G169" s="3"/>
      <c r="H169" s="15">
        <v>45603</v>
      </c>
      <c r="I169" s="3" t="s">
        <v>30</v>
      </c>
    </row>
    <row r="170" spans="1:11">
      <c r="A170" s="3"/>
      <c r="B170" s="3" t="s">
        <v>287</v>
      </c>
      <c r="C170" s="3" t="s">
        <v>284</v>
      </c>
      <c r="D170" s="29">
        <v>6.9</v>
      </c>
      <c r="E170" s="3" t="s">
        <v>285</v>
      </c>
      <c r="F170" s="3"/>
      <c r="G170" s="3"/>
      <c r="H170" s="15">
        <v>45603</v>
      </c>
      <c r="I170" s="3" t="s">
        <v>30</v>
      </c>
    </row>
    <row r="171" spans="1:11">
      <c r="A171" s="3"/>
      <c r="B171" s="3" t="s">
        <v>288</v>
      </c>
      <c r="C171" s="3" t="s">
        <v>284</v>
      </c>
      <c r="D171" s="29">
        <v>26.3</v>
      </c>
      <c r="E171" s="3" t="s">
        <v>285</v>
      </c>
      <c r="F171" s="3"/>
      <c r="G171" s="3"/>
      <c r="H171" s="15">
        <v>45603</v>
      </c>
      <c r="I171" s="3" t="s">
        <v>30</v>
      </c>
    </row>
    <row r="172" spans="1:11">
      <c r="A172" s="3"/>
      <c r="B172" s="3" t="s">
        <v>289</v>
      </c>
      <c r="C172" s="3" t="s">
        <v>290</v>
      </c>
      <c r="D172" s="29">
        <v>8</v>
      </c>
      <c r="E172" s="3" t="s">
        <v>291</v>
      </c>
      <c r="F172" s="3"/>
      <c r="G172" s="3"/>
      <c r="H172" s="15">
        <v>45603</v>
      </c>
      <c r="I172" s="3" t="s">
        <v>30</v>
      </c>
    </row>
    <row r="173" spans="1:11">
      <c r="A173" s="3"/>
      <c r="B173" s="3" t="s">
        <v>292</v>
      </c>
      <c r="C173" s="3" t="s">
        <v>293</v>
      </c>
      <c r="D173" s="29" t="s">
        <v>294</v>
      </c>
      <c r="E173" s="3" t="s">
        <v>125</v>
      </c>
      <c r="F173" s="3"/>
      <c r="G173" s="3"/>
      <c r="H173" s="15">
        <v>45613</v>
      </c>
      <c r="I173" s="3" t="s">
        <v>30</v>
      </c>
    </row>
    <row r="174" spans="1:11">
      <c r="A174" s="3"/>
      <c r="B174" s="3" t="s">
        <v>292</v>
      </c>
      <c r="C174" s="3" t="s">
        <v>295</v>
      </c>
      <c r="D174" s="29" t="s">
        <v>296</v>
      </c>
      <c r="E174" s="3" t="s">
        <v>125</v>
      </c>
      <c r="F174" s="3"/>
      <c r="G174" s="3"/>
      <c r="H174" s="15">
        <v>45613</v>
      </c>
      <c r="I174" s="3" t="s">
        <v>30</v>
      </c>
    </row>
    <row r="175" spans="1:11">
      <c r="A175" s="3"/>
      <c r="B175" s="3" t="s">
        <v>292</v>
      </c>
      <c r="C175" s="3" t="s">
        <v>297</v>
      </c>
      <c r="D175" s="29" t="s">
        <v>298</v>
      </c>
      <c r="E175" s="3" t="s">
        <v>125</v>
      </c>
      <c r="F175" s="3"/>
      <c r="G175" s="3"/>
      <c r="H175" s="15">
        <v>45613</v>
      </c>
      <c r="I175" s="3" t="s">
        <v>30</v>
      </c>
    </row>
    <row r="176" spans="1:11">
      <c r="A176" s="3"/>
      <c r="B176" s="3" t="s">
        <v>299</v>
      </c>
      <c r="C176" s="3" t="s">
        <v>300</v>
      </c>
      <c r="D176" s="30">
        <v>300</v>
      </c>
      <c r="E176" s="3" t="s">
        <v>27</v>
      </c>
      <c r="F176" s="3"/>
      <c r="G176" s="3"/>
      <c r="H176" s="15">
        <v>45613</v>
      </c>
      <c r="I176" s="3" t="s">
        <v>30</v>
      </c>
    </row>
    <row r="177" spans="1:9">
      <c r="A177" s="3"/>
      <c r="B177" s="3" t="s">
        <v>301</v>
      </c>
      <c r="C177" s="3" t="s">
        <v>300</v>
      </c>
      <c r="D177" s="29">
        <v>24</v>
      </c>
      <c r="E177" s="3" t="s">
        <v>27</v>
      </c>
      <c r="F177" s="3"/>
      <c r="G177" s="3"/>
      <c r="H177" s="15">
        <v>45613</v>
      </c>
      <c r="I177" s="3" t="s">
        <v>30</v>
      </c>
    </row>
    <row r="178" spans="1:9">
      <c r="A178" s="3"/>
      <c r="B178" s="3" t="s">
        <v>302</v>
      </c>
      <c r="C178" s="3" t="s">
        <v>300</v>
      </c>
      <c r="D178" s="29" t="s">
        <v>303</v>
      </c>
      <c r="E178" s="15"/>
      <c r="F178" s="15"/>
      <c r="G178" s="15"/>
      <c r="H178" s="15">
        <v>45613</v>
      </c>
      <c r="I178" s="3" t="s">
        <v>30</v>
      </c>
    </row>
    <row r="179" spans="1:9">
      <c r="A179" s="3"/>
      <c r="B179" s="3" t="s">
        <v>304</v>
      </c>
      <c r="C179" s="3" t="s">
        <v>305</v>
      </c>
      <c r="D179" s="30">
        <v>5000</v>
      </c>
      <c r="E179" s="3" t="s">
        <v>306</v>
      </c>
      <c r="F179" s="3"/>
      <c r="G179" s="3"/>
      <c r="H179" s="15">
        <v>45602</v>
      </c>
      <c r="I179" s="3" t="s">
        <v>30</v>
      </c>
    </row>
    <row r="180" spans="1:9">
      <c r="A180" s="3"/>
      <c r="B180" s="3" t="s">
        <v>304</v>
      </c>
      <c r="C180" s="3" t="s">
        <v>307</v>
      </c>
      <c r="D180" s="29" t="s">
        <v>308</v>
      </c>
      <c r="E180" s="3" t="s">
        <v>309</v>
      </c>
      <c r="F180" s="3"/>
      <c r="G180" s="3"/>
      <c r="H180" s="15">
        <v>45602</v>
      </c>
      <c r="I180" s="3" t="s">
        <v>30</v>
      </c>
    </row>
    <row r="181" spans="1:9">
      <c r="A181" s="3" t="s">
        <v>24</v>
      </c>
      <c r="B181" s="3" t="s">
        <v>304</v>
      </c>
      <c r="C181" s="3" t="s">
        <v>310</v>
      </c>
      <c r="D181" s="30">
        <v>3000</v>
      </c>
      <c r="E181" s="3" t="s">
        <v>306</v>
      </c>
      <c r="F181" s="3"/>
      <c r="G181" s="3"/>
      <c r="H181" s="15">
        <v>45602</v>
      </c>
      <c r="I181" s="3" t="s">
        <v>30</v>
      </c>
    </row>
    <row r="182" spans="1:9">
      <c r="A182" s="3"/>
      <c r="B182" s="3" t="s">
        <v>311</v>
      </c>
      <c r="C182" s="3" t="s">
        <v>312</v>
      </c>
      <c r="D182" s="29" t="s">
        <v>313</v>
      </c>
      <c r="E182" s="3" t="s">
        <v>314</v>
      </c>
      <c r="F182" s="3"/>
      <c r="G182" s="3"/>
      <c r="H182" s="15">
        <v>45613</v>
      </c>
      <c r="I182" s="3" t="s">
        <v>30</v>
      </c>
    </row>
    <row r="183" spans="1:9">
      <c r="A183" s="3"/>
      <c r="B183" s="3" t="s">
        <v>311</v>
      </c>
      <c r="C183" s="3" t="s">
        <v>315</v>
      </c>
      <c r="D183" s="29" t="s">
        <v>316</v>
      </c>
      <c r="E183" s="3" t="s">
        <v>314</v>
      </c>
      <c r="F183" s="3"/>
      <c r="G183" s="3"/>
      <c r="H183" s="15">
        <v>45613</v>
      </c>
      <c r="I183" s="3" t="s">
        <v>30</v>
      </c>
    </row>
    <row r="184" spans="1:9">
      <c r="A184" s="3"/>
      <c r="B184" s="3" t="s">
        <v>311</v>
      </c>
      <c r="C184" s="3" t="s">
        <v>317</v>
      </c>
      <c r="D184" s="29" t="s">
        <v>318</v>
      </c>
      <c r="E184" s="3" t="s">
        <v>314</v>
      </c>
      <c r="F184" s="3"/>
      <c r="G184" s="3"/>
      <c r="H184" s="15">
        <v>45613</v>
      </c>
      <c r="I184" s="3" t="s">
        <v>30</v>
      </c>
    </row>
    <row r="185" spans="1:9">
      <c r="A185" s="3"/>
      <c r="B185" s="3" t="s">
        <v>319</v>
      </c>
      <c r="C185" s="3" t="s">
        <v>320</v>
      </c>
      <c r="D185" s="29">
        <v>31.5</v>
      </c>
      <c r="E185" s="3" t="s">
        <v>314</v>
      </c>
      <c r="F185" s="3"/>
      <c r="G185" s="3"/>
      <c r="H185" s="15">
        <v>45623</v>
      </c>
      <c r="I185" s="3" t="s">
        <v>30</v>
      </c>
    </row>
    <row r="186" spans="1:9">
      <c r="A186" s="3"/>
      <c r="B186" s="3" t="s">
        <v>321</v>
      </c>
      <c r="C186" s="3" t="s">
        <v>322</v>
      </c>
      <c r="D186" s="30">
        <v>250</v>
      </c>
      <c r="E186" s="3" t="s">
        <v>209</v>
      </c>
      <c r="F186" s="3"/>
      <c r="G186" s="3"/>
      <c r="H186" s="15" t="s">
        <v>323</v>
      </c>
      <c r="I186" s="3" t="s">
        <v>30</v>
      </c>
    </row>
    <row r="187" spans="1:9">
      <c r="A187" s="3"/>
      <c r="B187" s="3" t="s">
        <v>324</v>
      </c>
      <c r="C187" s="3" t="s">
        <v>322</v>
      </c>
      <c r="D187" s="31" t="s">
        <v>325</v>
      </c>
      <c r="H187" s="15" t="s">
        <v>323</v>
      </c>
      <c r="I187" s="3" t="s">
        <v>30</v>
      </c>
    </row>
    <row r="188" spans="1:9">
      <c r="A188" s="3"/>
      <c r="B188" s="3" t="s">
        <v>326</v>
      </c>
      <c r="C188" s="3" t="s">
        <v>327</v>
      </c>
      <c r="D188" s="30">
        <v>155</v>
      </c>
      <c r="E188" s="3" t="s">
        <v>209</v>
      </c>
      <c r="F188" s="3"/>
      <c r="G188" s="3"/>
      <c r="H188" s="15" t="s">
        <v>323</v>
      </c>
      <c r="I188" s="3" t="s">
        <v>30</v>
      </c>
    </row>
    <row r="189" spans="1:9">
      <c r="A189" s="3"/>
      <c r="B189" s="3" t="s">
        <v>328</v>
      </c>
      <c r="C189" s="3" t="s">
        <v>329</v>
      </c>
      <c r="D189" s="12" t="s">
        <v>330</v>
      </c>
      <c r="H189" s="15" t="s">
        <v>323</v>
      </c>
      <c r="I189" s="3" t="s">
        <v>30</v>
      </c>
    </row>
    <row r="190" spans="1:9">
      <c r="A190" s="3"/>
      <c r="B190" s="3" t="s">
        <v>331</v>
      </c>
      <c r="C190" s="3" t="s">
        <v>332</v>
      </c>
      <c r="D190" s="29" t="s">
        <v>333</v>
      </c>
      <c r="E190" s="3" t="s">
        <v>209</v>
      </c>
      <c r="F190" s="3"/>
      <c r="G190" s="3"/>
      <c r="H190" s="15">
        <v>45613</v>
      </c>
      <c r="I190" s="3" t="s">
        <v>30</v>
      </c>
    </row>
    <row r="191" spans="1:9">
      <c r="A191" s="3"/>
      <c r="B191" s="3" t="s">
        <v>334</v>
      </c>
      <c r="C191" s="3" t="s">
        <v>335</v>
      </c>
      <c r="D191" s="30">
        <v>410</v>
      </c>
      <c r="E191" s="3" t="s">
        <v>336</v>
      </c>
      <c r="F191" s="3"/>
      <c r="G191" s="3"/>
      <c r="H191" s="15" t="s">
        <v>323</v>
      </c>
      <c r="I191" s="3" t="s">
        <v>30</v>
      </c>
    </row>
    <row r="192" spans="1:9">
      <c r="A192" s="3"/>
      <c r="B192" s="3" t="s">
        <v>337</v>
      </c>
      <c r="C192" s="3" t="s">
        <v>338</v>
      </c>
      <c r="D192" s="29" t="s">
        <v>339</v>
      </c>
      <c r="E192" s="3" t="s">
        <v>340</v>
      </c>
      <c r="F192" s="3"/>
      <c r="G192" s="3"/>
      <c r="H192" s="15" t="s">
        <v>323</v>
      </c>
      <c r="I192" s="3" t="s">
        <v>30</v>
      </c>
    </row>
    <row r="193" spans="1:13">
      <c r="A193" s="3"/>
      <c r="B193" s="3" t="s">
        <v>341</v>
      </c>
      <c r="C193" s="3" t="s">
        <v>342</v>
      </c>
      <c r="D193" s="30">
        <v>1000</v>
      </c>
      <c r="E193" s="3" t="s">
        <v>343</v>
      </c>
      <c r="F193" s="3"/>
      <c r="G193" s="3"/>
      <c r="H193" s="15" t="s">
        <v>323</v>
      </c>
      <c r="I193" s="3" t="s">
        <v>30</v>
      </c>
    </row>
    <row r="194" spans="1:13">
      <c r="A194" s="3"/>
      <c r="B194" s="401" t="s">
        <v>344</v>
      </c>
      <c r="C194" s="3" t="s">
        <v>345</v>
      </c>
      <c r="D194" s="29">
        <f>0.4454*10.504</f>
        <v>4.6784815999999996</v>
      </c>
      <c r="E194" s="3" t="s">
        <v>118</v>
      </c>
      <c r="F194" s="3"/>
      <c r="G194" s="3"/>
      <c r="H194" s="15">
        <v>45603</v>
      </c>
      <c r="I194" s="3" t="s">
        <v>30</v>
      </c>
    </row>
    <row r="195" spans="1:13">
      <c r="A195" s="3"/>
      <c r="B195" s="399"/>
      <c r="C195" s="3" t="s">
        <v>346</v>
      </c>
      <c r="D195" s="29">
        <f>0.6039*13.998</f>
        <v>8.4533921999999997</v>
      </c>
      <c r="E195" s="3" t="s">
        <v>118</v>
      </c>
      <c r="F195" s="3"/>
      <c r="G195" s="3"/>
      <c r="H195" s="15">
        <v>45603</v>
      </c>
      <c r="I195" s="3" t="s">
        <v>30</v>
      </c>
    </row>
    <row r="196" spans="1:13">
      <c r="A196" s="3"/>
      <c r="B196" s="401" t="s">
        <v>347</v>
      </c>
      <c r="C196" s="3" t="s">
        <v>348</v>
      </c>
      <c r="D196" s="32">
        <f>0.03046*19.99</f>
        <v>0.60889539999999998</v>
      </c>
      <c r="E196" s="3" t="s">
        <v>118</v>
      </c>
      <c r="F196" s="3"/>
      <c r="G196" s="3"/>
      <c r="H196" s="15">
        <v>45603</v>
      </c>
      <c r="I196" s="3" t="s">
        <v>30</v>
      </c>
    </row>
    <row r="197" spans="1:13">
      <c r="A197" s="3"/>
      <c r="B197" s="399"/>
      <c r="C197" s="3" t="s">
        <v>349</v>
      </c>
      <c r="D197" s="32">
        <f>0.02896*19.986</f>
        <v>0.57879455999999996</v>
      </c>
      <c r="E197" s="3" t="s">
        <v>118</v>
      </c>
      <c r="F197" s="3"/>
      <c r="G197" s="3"/>
      <c r="H197" s="15">
        <v>45603</v>
      </c>
      <c r="I197" s="3" t="s">
        <v>30</v>
      </c>
    </row>
    <row r="198" spans="1:13">
      <c r="A198" s="3"/>
      <c r="B198" s="401" t="s">
        <v>350</v>
      </c>
      <c r="C198" s="3" t="s">
        <v>351</v>
      </c>
      <c r="D198" s="32">
        <f>0.027175*19.986</f>
        <v>0.54311955000000001</v>
      </c>
      <c r="E198" s="3" t="s">
        <v>118</v>
      </c>
      <c r="F198" s="3"/>
      <c r="G198" s="3"/>
      <c r="H198" s="15">
        <v>45603</v>
      </c>
      <c r="I198" s="3" t="s">
        <v>30</v>
      </c>
    </row>
    <row r="199" spans="1:13">
      <c r="A199" s="3"/>
      <c r="B199" s="399"/>
      <c r="C199" s="3" t="s">
        <v>352</v>
      </c>
      <c r="D199" s="32">
        <f>0.02607*19.986</f>
        <v>0.52103502000000002</v>
      </c>
      <c r="E199" s="3" t="s">
        <v>118</v>
      </c>
      <c r="F199" s="3"/>
      <c r="G199" s="3"/>
      <c r="H199" s="15">
        <v>45603</v>
      </c>
      <c r="I199" s="3" t="s">
        <v>30</v>
      </c>
    </row>
    <row r="200" spans="1:13">
      <c r="A200" s="3"/>
      <c r="B200" s="3" t="s">
        <v>353</v>
      </c>
      <c r="C200" s="3" t="s">
        <v>354</v>
      </c>
      <c r="D200" s="3">
        <v>17.55</v>
      </c>
      <c r="E200" s="3" t="s">
        <v>355</v>
      </c>
      <c r="H200" s="15">
        <v>45664</v>
      </c>
      <c r="I200" s="3" t="s">
        <v>30</v>
      </c>
    </row>
    <row r="201" spans="1:13">
      <c r="A201" s="3"/>
      <c r="B201" s="3" t="s">
        <v>353</v>
      </c>
      <c r="C201" s="3" t="s">
        <v>356</v>
      </c>
      <c r="D201" s="3">
        <v>20.46</v>
      </c>
      <c r="E201" s="3" t="s">
        <v>355</v>
      </c>
      <c r="H201" s="15">
        <v>45664</v>
      </c>
      <c r="I201" s="3" t="s">
        <v>30</v>
      </c>
    </row>
    <row r="202" spans="1:13">
      <c r="A202" s="3"/>
      <c r="B202" s="3" t="s">
        <v>353</v>
      </c>
      <c r="C202" s="3" t="s">
        <v>357</v>
      </c>
      <c r="D202" s="3">
        <f>166.55-0.12</f>
        <v>166.43</v>
      </c>
      <c r="E202" s="3" t="s">
        <v>355</v>
      </c>
      <c r="H202" s="15">
        <v>45664</v>
      </c>
      <c r="I202" s="3" t="s">
        <v>30</v>
      </c>
    </row>
    <row r="204" spans="1:13">
      <c r="B204" s="11" t="s">
        <v>358</v>
      </c>
      <c r="C204" s="3" t="s">
        <v>359</v>
      </c>
      <c r="I204" s="3" t="s">
        <v>360</v>
      </c>
    </row>
    <row r="205" spans="1:13">
      <c r="B205" s="33" t="s">
        <v>361</v>
      </c>
      <c r="C205" s="33" t="s">
        <v>362</v>
      </c>
      <c r="D205" s="33" t="s">
        <v>363</v>
      </c>
      <c r="E205" s="33" t="s">
        <v>364</v>
      </c>
      <c r="F205" s="33" t="s">
        <v>365</v>
      </c>
      <c r="G205" s="33" t="s">
        <v>366</v>
      </c>
      <c r="H205" s="33" t="s">
        <v>367</v>
      </c>
      <c r="I205" s="33" t="s">
        <v>368</v>
      </c>
      <c r="J205" s="34" t="s">
        <v>369</v>
      </c>
      <c r="K205" s="33" t="s">
        <v>370</v>
      </c>
      <c r="L205" s="35" t="s">
        <v>371</v>
      </c>
      <c r="M205" s="35" t="s">
        <v>372</v>
      </c>
    </row>
    <row r="206" spans="1:13">
      <c r="B206" s="25">
        <v>5</v>
      </c>
      <c r="C206" s="25">
        <v>0.26700000000000002</v>
      </c>
      <c r="D206" s="25">
        <v>3.74</v>
      </c>
      <c r="E206" s="25">
        <v>0</v>
      </c>
      <c r="F206" s="36">
        <f t="shared" ref="F206:F240" si="0">B206*C206/1000</f>
        <v>1.335E-3</v>
      </c>
      <c r="G206" s="36">
        <f t="shared" ref="G206:G240" si="1">D206*E206/1000</f>
        <v>0</v>
      </c>
      <c r="H206" s="37">
        <f t="shared" ref="H206:H240" si="2">G206/F206</f>
        <v>0</v>
      </c>
      <c r="I206" s="25"/>
      <c r="J206" s="25"/>
      <c r="K206" s="25"/>
    </row>
    <row r="207" spans="1:13">
      <c r="B207" s="25">
        <v>5</v>
      </c>
      <c r="C207" s="25">
        <v>0.64400000000000002</v>
      </c>
      <c r="D207" s="25">
        <v>3.58</v>
      </c>
      <c r="E207" s="25">
        <v>0.44</v>
      </c>
      <c r="F207" s="36">
        <f t="shared" si="0"/>
        <v>3.2200000000000002E-3</v>
      </c>
      <c r="G207" s="36">
        <f t="shared" si="1"/>
        <v>1.5751999999999999E-3</v>
      </c>
      <c r="H207" s="37">
        <f t="shared" si="2"/>
        <v>0.48919254658385086</v>
      </c>
      <c r="I207" s="25"/>
      <c r="J207" s="25"/>
      <c r="K207" s="25"/>
    </row>
    <row r="208" spans="1:13">
      <c r="B208" s="25">
        <v>4.99</v>
      </c>
      <c r="C208" s="25">
        <v>2.08</v>
      </c>
      <c r="D208" s="25">
        <v>3.52</v>
      </c>
      <c r="E208" s="25">
        <v>2.17</v>
      </c>
      <c r="F208" s="36">
        <f t="shared" si="0"/>
        <v>1.0379200000000002E-2</v>
      </c>
      <c r="G208" s="36">
        <f t="shared" si="1"/>
        <v>7.6384000000000001E-3</v>
      </c>
      <c r="H208" s="37">
        <f t="shared" si="2"/>
        <v>0.73593340527208251</v>
      </c>
      <c r="I208" s="25"/>
      <c r="J208" s="25"/>
      <c r="K208" s="25"/>
    </row>
    <row r="209" spans="2:19">
      <c r="B209" s="25">
        <v>5</v>
      </c>
      <c r="C209" s="25">
        <v>6.2949999999999999</v>
      </c>
      <c r="D209" s="25">
        <v>3.48</v>
      </c>
      <c r="E209" s="25">
        <v>7.28</v>
      </c>
      <c r="F209" s="36">
        <f t="shared" si="0"/>
        <v>3.1475000000000003E-2</v>
      </c>
      <c r="G209" s="36">
        <f t="shared" si="1"/>
        <v>2.5334400000000003E-2</v>
      </c>
      <c r="H209" s="37">
        <f t="shared" si="2"/>
        <v>0.80490548054011124</v>
      </c>
      <c r="I209" s="25"/>
      <c r="J209" s="25"/>
      <c r="K209" s="25"/>
    </row>
    <row r="210" spans="2:19">
      <c r="B210" s="25">
        <v>5</v>
      </c>
      <c r="C210" s="25">
        <v>26.93</v>
      </c>
      <c r="D210" s="25">
        <v>3.43</v>
      </c>
      <c r="E210" s="25">
        <v>32.39</v>
      </c>
      <c r="F210" s="36">
        <f t="shared" si="0"/>
        <v>0.13464999999999999</v>
      </c>
      <c r="G210" s="36">
        <f t="shared" si="1"/>
        <v>0.11109770000000001</v>
      </c>
      <c r="H210" s="37">
        <f t="shared" si="2"/>
        <v>0.82508503527664323</v>
      </c>
      <c r="I210" s="25"/>
      <c r="J210" s="25"/>
      <c r="K210" s="25"/>
    </row>
    <row r="211" spans="2:19">
      <c r="B211" s="25">
        <v>5</v>
      </c>
      <c r="C211" s="25">
        <v>41.43</v>
      </c>
      <c r="D211" s="25">
        <v>3.41</v>
      </c>
      <c r="E211" s="25">
        <v>50.1</v>
      </c>
      <c r="F211" s="36">
        <f t="shared" si="0"/>
        <v>0.20715</v>
      </c>
      <c r="G211" s="36">
        <f t="shared" si="1"/>
        <v>0.17084100000000002</v>
      </c>
      <c r="H211" s="37">
        <f t="shared" si="2"/>
        <v>0.82472121650977559</v>
      </c>
      <c r="I211" s="25"/>
      <c r="J211" s="25"/>
      <c r="K211" s="25"/>
    </row>
    <row r="212" spans="2:19">
      <c r="B212" s="25">
        <v>5</v>
      </c>
      <c r="C212" s="25">
        <v>84.26</v>
      </c>
      <c r="D212" s="25">
        <v>3.37</v>
      </c>
      <c r="E212" s="25">
        <v>102.4</v>
      </c>
      <c r="F212" s="36">
        <f t="shared" si="0"/>
        <v>0.42130000000000001</v>
      </c>
      <c r="G212" s="36">
        <f t="shared" si="1"/>
        <v>0.34508800000000001</v>
      </c>
      <c r="H212" s="37">
        <f t="shared" si="2"/>
        <v>0.81910277711844293</v>
      </c>
      <c r="I212" s="25"/>
      <c r="J212" s="25"/>
      <c r="K212" s="25"/>
    </row>
    <row r="213" spans="2:19">
      <c r="B213" s="38">
        <v>5</v>
      </c>
      <c r="C213" s="38">
        <v>84.26</v>
      </c>
      <c r="D213" s="38">
        <v>3.37</v>
      </c>
      <c r="E213" s="38">
        <v>102.4</v>
      </c>
      <c r="F213" s="39">
        <f t="shared" si="0"/>
        <v>0.42130000000000001</v>
      </c>
      <c r="G213" s="39">
        <f t="shared" si="1"/>
        <v>0.34508800000000001</v>
      </c>
      <c r="H213" s="40">
        <f t="shared" si="2"/>
        <v>0.81910277711844293</v>
      </c>
      <c r="I213" s="16"/>
      <c r="J213" s="16"/>
      <c r="K213" s="16"/>
      <c r="L213" s="16"/>
      <c r="M213" s="16"/>
    </row>
    <row r="214" spans="2:19">
      <c r="B214" s="25">
        <v>5.01</v>
      </c>
      <c r="C214" s="25">
        <v>172.36</v>
      </c>
      <c r="D214" s="25">
        <v>3.34</v>
      </c>
      <c r="E214" s="25">
        <v>211.5</v>
      </c>
      <c r="F214" s="36">
        <f t="shared" si="0"/>
        <v>0.86352359999999995</v>
      </c>
      <c r="G214" s="36">
        <f t="shared" si="1"/>
        <v>0.70640999999999998</v>
      </c>
      <c r="H214" s="37">
        <f t="shared" si="2"/>
        <v>0.81805523323276863</v>
      </c>
      <c r="I214" s="25"/>
      <c r="J214" s="25"/>
      <c r="K214" s="25"/>
    </row>
    <row r="215" spans="2:19">
      <c r="B215" s="25">
        <v>5</v>
      </c>
      <c r="C215" s="25">
        <v>259</v>
      </c>
      <c r="D215" s="25">
        <v>3.31</v>
      </c>
      <c r="E215" s="25">
        <v>312.7</v>
      </c>
      <c r="F215" s="36">
        <f t="shared" si="0"/>
        <v>1.2949999999999999</v>
      </c>
      <c r="G215" s="36">
        <f t="shared" si="1"/>
        <v>1.035037</v>
      </c>
      <c r="H215" s="37">
        <f t="shared" si="2"/>
        <v>0.79925637065637067</v>
      </c>
      <c r="I215" s="25"/>
      <c r="J215" s="25"/>
      <c r="K215" s="25"/>
    </row>
    <row r="216" spans="2:19">
      <c r="B216" s="25">
        <v>5</v>
      </c>
      <c r="C216" s="25">
        <v>467</v>
      </c>
      <c r="D216" s="25">
        <v>3.27</v>
      </c>
      <c r="E216" s="25">
        <v>545</v>
      </c>
      <c r="F216" s="36">
        <f t="shared" si="0"/>
        <v>2.335</v>
      </c>
      <c r="G216" s="36">
        <f t="shared" si="1"/>
        <v>1.7821500000000001</v>
      </c>
      <c r="H216" s="37">
        <f t="shared" si="2"/>
        <v>0.76323340471092083</v>
      </c>
      <c r="I216" s="25"/>
      <c r="J216" s="25"/>
      <c r="K216" s="25"/>
      <c r="R216" s="16"/>
      <c r="S216" s="16"/>
    </row>
    <row r="217" spans="2:19">
      <c r="B217" s="41">
        <v>4.99</v>
      </c>
      <c r="C217" s="41">
        <v>739</v>
      </c>
      <c r="D217" s="41">
        <v>3.14</v>
      </c>
      <c r="E217" s="41">
        <v>810</v>
      </c>
      <c r="F217" s="42">
        <f t="shared" si="0"/>
        <v>3.6876100000000003</v>
      </c>
      <c r="G217" s="42">
        <f t="shared" si="1"/>
        <v>2.5434000000000001</v>
      </c>
      <c r="H217" s="43">
        <f t="shared" si="2"/>
        <v>0.68971501867062945</v>
      </c>
      <c r="I217" s="41"/>
      <c r="J217" s="41"/>
      <c r="K217" s="41"/>
      <c r="L217" s="44"/>
    </row>
    <row r="218" spans="2:19">
      <c r="B218" s="25">
        <v>12</v>
      </c>
      <c r="C218" s="25">
        <v>0.47199999999999998</v>
      </c>
      <c r="D218" s="25">
        <v>3.8</v>
      </c>
      <c r="E218" s="25">
        <v>0</v>
      </c>
      <c r="F218" s="36">
        <f t="shared" si="0"/>
        <v>5.6639999999999998E-3</v>
      </c>
      <c r="G218" s="36">
        <f t="shared" si="1"/>
        <v>0</v>
      </c>
      <c r="H218" s="37">
        <f t="shared" si="2"/>
        <v>0</v>
      </c>
      <c r="I218" s="25"/>
      <c r="J218" s="25"/>
      <c r="K218" s="25"/>
    </row>
    <row r="219" spans="2:19">
      <c r="B219" s="25">
        <v>12</v>
      </c>
      <c r="C219" s="25">
        <v>0.63600000000000001</v>
      </c>
      <c r="D219" s="25">
        <v>3.79</v>
      </c>
      <c r="E219" s="25">
        <v>0.46</v>
      </c>
      <c r="F219" s="36">
        <f t="shared" si="0"/>
        <v>7.6319999999999999E-3</v>
      </c>
      <c r="G219" s="36">
        <f t="shared" si="1"/>
        <v>1.7434E-3</v>
      </c>
      <c r="H219" s="37">
        <f t="shared" si="2"/>
        <v>0.22843291404612159</v>
      </c>
      <c r="I219" s="25"/>
      <c r="J219" s="25"/>
      <c r="K219" s="25"/>
    </row>
    <row r="220" spans="2:19">
      <c r="B220" s="25">
        <v>12</v>
      </c>
      <c r="C220" s="25">
        <v>3.37</v>
      </c>
      <c r="D220" s="25">
        <v>3.75</v>
      </c>
      <c r="E220" s="25">
        <v>7.82</v>
      </c>
      <c r="F220" s="36">
        <f t="shared" si="0"/>
        <v>4.0439999999999997E-2</v>
      </c>
      <c r="G220" s="36">
        <f t="shared" si="1"/>
        <v>2.9325000000000004E-2</v>
      </c>
      <c r="H220" s="37">
        <f t="shared" si="2"/>
        <v>0.72514836795252235</v>
      </c>
      <c r="I220" s="25"/>
      <c r="J220" s="25"/>
      <c r="K220" s="25"/>
    </row>
    <row r="221" spans="2:19">
      <c r="B221" s="25">
        <v>11.99</v>
      </c>
      <c r="C221" s="25">
        <v>13.56</v>
      </c>
      <c r="D221" s="25">
        <v>3.75</v>
      </c>
      <c r="E221" s="25">
        <v>34.85</v>
      </c>
      <c r="F221" s="36">
        <f t="shared" si="0"/>
        <v>0.16258440000000002</v>
      </c>
      <c r="G221" s="36">
        <f t="shared" si="1"/>
        <v>0.13068750000000001</v>
      </c>
      <c r="H221" s="37">
        <f t="shared" si="2"/>
        <v>0.80381328097898685</v>
      </c>
      <c r="I221" s="25"/>
      <c r="J221" s="25"/>
      <c r="K221" s="25"/>
    </row>
    <row r="222" spans="2:19">
      <c r="B222" s="25">
        <v>12</v>
      </c>
      <c r="C222" s="25">
        <v>19.579999999999998</v>
      </c>
      <c r="D222" s="25">
        <v>3.73</v>
      </c>
      <c r="E222" s="25">
        <v>51.4</v>
      </c>
      <c r="F222" s="36">
        <f t="shared" si="0"/>
        <v>0.23495999999999997</v>
      </c>
      <c r="G222" s="36">
        <f t="shared" si="1"/>
        <v>0.19172199999999998</v>
      </c>
      <c r="H222" s="37">
        <f t="shared" si="2"/>
        <v>0.81597718760640103</v>
      </c>
      <c r="I222" s="25"/>
      <c r="J222" s="25"/>
      <c r="K222" s="25"/>
    </row>
    <row r="223" spans="2:19">
      <c r="B223" s="25">
        <v>12.01</v>
      </c>
      <c r="C223" s="25">
        <v>39.9</v>
      </c>
      <c r="D223" s="25">
        <v>3.77</v>
      </c>
      <c r="E223" s="25">
        <v>104</v>
      </c>
      <c r="F223" s="36">
        <f t="shared" si="0"/>
        <v>0.47919899999999993</v>
      </c>
      <c r="G223" s="36">
        <f t="shared" si="1"/>
        <v>0.39207999999999998</v>
      </c>
      <c r="H223" s="37">
        <f t="shared" si="2"/>
        <v>0.81819870241799342</v>
      </c>
      <c r="I223" s="25"/>
      <c r="J223" s="25"/>
      <c r="K223" s="25"/>
    </row>
    <row r="224" spans="2:19">
      <c r="B224" s="25">
        <v>12</v>
      </c>
      <c r="C224" s="25">
        <v>78.599999999999994</v>
      </c>
      <c r="D224" s="25">
        <v>3.72</v>
      </c>
      <c r="E224" s="25">
        <v>206.5</v>
      </c>
      <c r="F224" s="36">
        <f t="shared" si="0"/>
        <v>0.94319999999999993</v>
      </c>
      <c r="G224" s="36">
        <f t="shared" si="1"/>
        <v>0.76818000000000008</v>
      </c>
      <c r="H224" s="37">
        <f t="shared" si="2"/>
        <v>0.81444020356234115</v>
      </c>
      <c r="I224" s="25"/>
      <c r="J224" s="25"/>
      <c r="K224" s="25"/>
    </row>
    <row r="225" spans="2:13">
      <c r="B225" s="25">
        <v>12</v>
      </c>
      <c r="C225" s="25">
        <v>112.1</v>
      </c>
      <c r="D225" s="25">
        <v>3.7</v>
      </c>
      <c r="E225" s="25">
        <v>297</v>
      </c>
      <c r="F225" s="36">
        <f t="shared" si="0"/>
        <v>1.3451999999999997</v>
      </c>
      <c r="G225" s="36">
        <f t="shared" si="1"/>
        <v>1.0989</v>
      </c>
      <c r="H225" s="37">
        <f t="shared" si="2"/>
        <v>0.81690454950936675</v>
      </c>
      <c r="I225" s="25"/>
      <c r="J225" s="25"/>
      <c r="K225" s="25"/>
    </row>
    <row r="226" spans="2:13">
      <c r="B226" s="25">
        <v>12.02</v>
      </c>
      <c r="C226" s="25">
        <v>196.7</v>
      </c>
      <c r="D226" s="25">
        <v>3.68</v>
      </c>
      <c r="E226" s="25">
        <v>527</v>
      </c>
      <c r="F226" s="36">
        <f t="shared" si="0"/>
        <v>2.3643339999999999</v>
      </c>
      <c r="G226" s="36">
        <f t="shared" si="1"/>
        <v>1.9393600000000002</v>
      </c>
      <c r="H226" s="37">
        <f t="shared" si="2"/>
        <v>0.82025635971905841</v>
      </c>
      <c r="I226" s="25">
        <v>43</v>
      </c>
      <c r="J226" s="25">
        <v>46</v>
      </c>
      <c r="K226" s="25">
        <v>0.1244</v>
      </c>
      <c r="L226" s="3">
        <v>193.1</v>
      </c>
    </row>
    <row r="227" spans="2:13">
      <c r="B227" s="41">
        <v>11.99</v>
      </c>
      <c r="C227" s="41">
        <v>278</v>
      </c>
      <c r="D227" s="41">
        <v>3.67</v>
      </c>
      <c r="E227" s="41">
        <v>727</v>
      </c>
      <c r="F227" s="42">
        <f t="shared" si="0"/>
        <v>3.3332200000000003</v>
      </c>
      <c r="G227" s="42">
        <f t="shared" si="1"/>
        <v>2.6680900000000003</v>
      </c>
      <c r="H227" s="43">
        <f t="shared" si="2"/>
        <v>0.80045421544332507</v>
      </c>
      <c r="I227" s="41">
        <v>43</v>
      </c>
      <c r="J227" s="41">
        <v>46</v>
      </c>
      <c r="K227" s="41">
        <v>0.1208</v>
      </c>
      <c r="L227" s="44" t="s">
        <v>373</v>
      </c>
    </row>
    <row r="228" spans="2:13">
      <c r="B228" s="25">
        <v>24.01</v>
      </c>
      <c r="C228" s="25">
        <v>0.99</v>
      </c>
      <c r="D228" s="25">
        <v>3.8</v>
      </c>
      <c r="E228" s="25">
        <v>0</v>
      </c>
      <c r="F228" s="36">
        <f t="shared" si="0"/>
        <v>2.37699E-2</v>
      </c>
      <c r="G228" s="36">
        <f t="shared" si="1"/>
        <v>0</v>
      </c>
      <c r="H228" s="37">
        <f t="shared" si="2"/>
        <v>0</v>
      </c>
      <c r="I228" s="25">
        <v>26</v>
      </c>
      <c r="J228" s="25">
        <v>26</v>
      </c>
      <c r="K228" s="25">
        <v>6.7000000000000004E-2</v>
      </c>
      <c r="L228" s="3">
        <v>0.54300000000000004</v>
      </c>
    </row>
    <row r="229" spans="2:13">
      <c r="B229" s="25">
        <v>24</v>
      </c>
      <c r="C229" s="25">
        <v>2.5</v>
      </c>
      <c r="D229" s="25">
        <v>3.74</v>
      </c>
      <c r="E229" s="25">
        <v>7.83</v>
      </c>
      <c r="F229" s="36">
        <f t="shared" si="0"/>
        <v>0.06</v>
      </c>
      <c r="G229" s="36">
        <f t="shared" si="1"/>
        <v>2.9284200000000003E-2</v>
      </c>
      <c r="H229" s="37">
        <f t="shared" si="2"/>
        <v>0.48807000000000006</v>
      </c>
      <c r="I229" s="25">
        <v>26</v>
      </c>
      <c r="J229" s="25">
        <v>26</v>
      </c>
      <c r="K229" s="25">
        <v>7.2999999999999995E-2</v>
      </c>
      <c r="L229" s="3">
        <v>6.4</v>
      </c>
    </row>
    <row r="230" spans="2:13">
      <c r="B230" s="25">
        <v>24.01</v>
      </c>
      <c r="C230" s="25">
        <v>8</v>
      </c>
      <c r="D230" s="25">
        <v>3.73</v>
      </c>
      <c r="E230" s="25">
        <v>36.119999999999997</v>
      </c>
      <c r="F230" s="36">
        <f t="shared" si="0"/>
        <v>0.19208</v>
      </c>
      <c r="G230" s="36">
        <f t="shared" si="1"/>
        <v>0.1347276</v>
      </c>
      <c r="H230" s="37">
        <f t="shared" si="2"/>
        <v>0.70141399416909622</v>
      </c>
      <c r="I230" s="25">
        <v>26</v>
      </c>
      <c r="J230" s="25">
        <v>26</v>
      </c>
      <c r="K230" s="25">
        <v>7.0999999999999994E-2</v>
      </c>
      <c r="L230" s="3">
        <v>29</v>
      </c>
    </row>
    <row r="231" spans="2:13">
      <c r="B231" s="25">
        <v>23.99</v>
      </c>
      <c r="C231" s="25">
        <v>10.83</v>
      </c>
      <c r="D231" s="25">
        <v>3.73</v>
      </c>
      <c r="E231" s="25">
        <v>50.68</v>
      </c>
      <c r="F231" s="36">
        <f t="shared" si="0"/>
        <v>0.25981169999999998</v>
      </c>
      <c r="G231" s="36">
        <f t="shared" si="1"/>
        <v>0.18903639999999999</v>
      </c>
      <c r="H231" s="37">
        <f t="shared" si="2"/>
        <v>0.72759002000294837</v>
      </c>
      <c r="I231" s="25">
        <v>27</v>
      </c>
      <c r="J231" s="25">
        <v>27</v>
      </c>
      <c r="K231" s="25">
        <v>7.0000000000000007E-2</v>
      </c>
      <c r="L231" s="3">
        <v>41.4</v>
      </c>
    </row>
    <row r="232" spans="2:13">
      <c r="B232" s="25">
        <v>24</v>
      </c>
      <c r="C232" s="25">
        <v>20.83</v>
      </c>
      <c r="D232" s="25">
        <v>3.77</v>
      </c>
      <c r="E232" s="25">
        <v>100.6</v>
      </c>
      <c r="F232" s="36">
        <f t="shared" si="0"/>
        <v>0.49991999999999998</v>
      </c>
      <c r="G232" s="36">
        <f t="shared" si="1"/>
        <v>0.37926199999999999</v>
      </c>
      <c r="H232" s="37">
        <f t="shared" si="2"/>
        <v>0.7586453832613218</v>
      </c>
      <c r="I232" s="25">
        <v>28</v>
      </c>
      <c r="J232" s="25">
        <v>29</v>
      </c>
      <c r="K232" s="25">
        <v>0.11600000000000001</v>
      </c>
      <c r="L232" s="3">
        <v>69</v>
      </c>
    </row>
    <row r="233" spans="2:13">
      <c r="B233" s="25">
        <v>24</v>
      </c>
      <c r="C233" s="25">
        <v>44.9</v>
      </c>
      <c r="D233" s="25">
        <v>3.87</v>
      </c>
      <c r="E233" s="25">
        <v>213.9</v>
      </c>
      <c r="F233" s="36">
        <f t="shared" si="0"/>
        <v>1.0775999999999999</v>
      </c>
      <c r="G233" s="36">
        <f t="shared" si="1"/>
        <v>0.827793</v>
      </c>
      <c r="H233" s="37">
        <f t="shared" si="2"/>
        <v>0.76818207126948779</v>
      </c>
      <c r="I233" s="25">
        <v>31</v>
      </c>
      <c r="J233" s="25">
        <v>33</v>
      </c>
      <c r="K233" s="25">
        <v>0.158</v>
      </c>
      <c r="L233" s="3">
        <v>63</v>
      </c>
    </row>
    <row r="234" spans="2:13">
      <c r="B234" s="25">
        <v>24.01</v>
      </c>
      <c r="C234" s="25">
        <v>61.72</v>
      </c>
      <c r="D234" s="25">
        <v>3.73</v>
      </c>
      <c r="E234" s="25">
        <v>306.39999999999998</v>
      </c>
      <c r="F234" s="36">
        <f t="shared" si="0"/>
        <v>1.4818972000000001</v>
      </c>
      <c r="G234" s="36">
        <f t="shared" si="1"/>
        <v>1.1428719999999999</v>
      </c>
      <c r="H234" s="37">
        <f t="shared" si="2"/>
        <v>0.77122218734200976</v>
      </c>
      <c r="I234" s="25">
        <v>33</v>
      </c>
      <c r="J234" s="25">
        <v>36</v>
      </c>
      <c r="K234" s="25">
        <v>0.14000000000000001</v>
      </c>
      <c r="L234" s="3">
        <v>89.4</v>
      </c>
    </row>
    <row r="235" spans="2:13">
      <c r="B235" s="25">
        <v>24</v>
      </c>
      <c r="C235" s="25">
        <v>101.7</v>
      </c>
      <c r="D235" s="25">
        <v>3.66</v>
      </c>
      <c r="E235" s="25">
        <v>515</v>
      </c>
      <c r="F235" s="36">
        <f t="shared" si="0"/>
        <v>2.4408000000000003</v>
      </c>
      <c r="G235" s="36">
        <f t="shared" si="1"/>
        <v>1.8849</v>
      </c>
      <c r="H235" s="37">
        <f t="shared" si="2"/>
        <v>0.77224680432645021</v>
      </c>
      <c r="I235" s="25">
        <v>38</v>
      </c>
      <c r="J235" s="25">
        <v>43</v>
      </c>
      <c r="K235" s="25">
        <v>9.9000000000000005E-2</v>
      </c>
      <c r="L235" s="3">
        <v>148.69999999999999</v>
      </c>
    </row>
    <row r="236" spans="2:13">
      <c r="B236" s="25">
        <v>24.01</v>
      </c>
      <c r="C236" s="25">
        <v>141</v>
      </c>
      <c r="D236" s="25">
        <v>3.63</v>
      </c>
      <c r="E236" s="25">
        <v>727</v>
      </c>
      <c r="F236" s="36">
        <f t="shared" si="0"/>
        <v>3.3854100000000003</v>
      </c>
      <c r="G236" s="36">
        <f t="shared" si="1"/>
        <v>2.6390099999999999</v>
      </c>
      <c r="H236" s="37">
        <f t="shared" si="2"/>
        <v>0.77952448890976267</v>
      </c>
      <c r="I236" s="25">
        <v>45</v>
      </c>
      <c r="J236" s="25">
        <v>52</v>
      </c>
      <c r="K236" s="25">
        <v>6.8000000000000005E-2</v>
      </c>
      <c r="L236" s="3">
        <v>205</v>
      </c>
    </row>
    <row r="237" spans="2:13">
      <c r="B237" s="25">
        <v>24.01</v>
      </c>
      <c r="C237" s="25">
        <v>201.6</v>
      </c>
      <c r="D237" s="25">
        <v>3.63</v>
      </c>
      <c r="E237" s="25">
        <v>1023</v>
      </c>
      <c r="F237" s="36">
        <f t="shared" si="0"/>
        <v>4.8404160000000003</v>
      </c>
      <c r="G237" s="36">
        <f t="shared" si="1"/>
        <v>3.7134899999999997</v>
      </c>
      <c r="H237" s="37">
        <f t="shared" si="2"/>
        <v>0.76718406021300634</v>
      </c>
      <c r="I237" s="25">
        <v>60</v>
      </c>
      <c r="J237" s="25">
        <v>66</v>
      </c>
      <c r="K237" s="25">
        <v>3.9E-2</v>
      </c>
      <c r="L237" s="3">
        <v>219</v>
      </c>
      <c r="M237" s="3" t="s">
        <v>374</v>
      </c>
    </row>
    <row r="238" spans="2:13">
      <c r="B238" s="25">
        <v>24.01</v>
      </c>
      <c r="C238" s="25">
        <v>210.5</v>
      </c>
      <c r="D238" s="25">
        <v>3.64</v>
      </c>
      <c r="E238" s="25">
        <v>1024</v>
      </c>
      <c r="F238" s="36">
        <f t="shared" si="0"/>
        <v>5.0541050000000007</v>
      </c>
      <c r="G238" s="36">
        <f t="shared" si="1"/>
        <v>3.72736</v>
      </c>
      <c r="H238" s="37">
        <f t="shared" si="2"/>
        <v>0.73749160336004094</v>
      </c>
      <c r="I238" s="25">
        <v>61</v>
      </c>
      <c r="J238" s="25">
        <v>68</v>
      </c>
      <c r="K238" s="25">
        <v>0.159</v>
      </c>
      <c r="L238" s="3" t="s">
        <v>375</v>
      </c>
    </row>
    <row r="239" spans="2:13">
      <c r="B239" s="25">
        <v>24.01</v>
      </c>
      <c r="C239" s="25">
        <v>299</v>
      </c>
      <c r="D239" s="25">
        <v>3.59</v>
      </c>
      <c r="E239" s="25">
        <v>1434</v>
      </c>
      <c r="F239" s="36">
        <f t="shared" si="0"/>
        <v>7.1789900000000006</v>
      </c>
      <c r="G239" s="36">
        <f t="shared" si="1"/>
        <v>5.1480599999999992</v>
      </c>
      <c r="H239" s="37">
        <f t="shared" si="2"/>
        <v>0.71710087352120544</v>
      </c>
      <c r="I239" s="25">
        <v>82</v>
      </c>
      <c r="J239" s="25">
        <v>89</v>
      </c>
      <c r="K239" s="25">
        <v>5.7000000000000002E-2</v>
      </c>
      <c r="L239" s="3">
        <v>247</v>
      </c>
    </row>
    <row r="240" spans="2:13">
      <c r="B240" s="25">
        <v>24</v>
      </c>
      <c r="C240" s="25">
        <v>11.3</v>
      </c>
      <c r="D240" s="25">
        <v>0.128</v>
      </c>
      <c r="E240" s="25">
        <v>191</v>
      </c>
      <c r="F240" s="36">
        <f t="shared" si="0"/>
        <v>0.27120000000000005</v>
      </c>
      <c r="G240" s="36">
        <f t="shared" si="1"/>
        <v>2.4448000000000001E-2</v>
      </c>
      <c r="H240" s="37">
        <f t="shared" si="2"/>
        <v>9.0147492625368725E-2</v>
      </c>
      <c r="I240" s="25">
        <v>32</v>
      </c>
      <c r="J240" s="25">
        <v>31</v>
      </c>
      <c r="K240" s="25">
        <v>0.13100000000000001</v>
      </c>
      <c r="L240" s="3">
        <v>3.3399999999999999E-2</v>
      </c>
      <c r="M240" s="3" t="s">
        <v>376</v>
      </c>
    </row>
    <row r="242" spans="2:16">
      <c r="B242" s="45" t="s">
        <v>377</v>
      </c>
      <c r="I242" s="3" t="s">
        <v>378</v>
      </c>
    </row>
    <row r="243" spans="2:16">
      <c r="B243" s="33" t="s">
        <v>361</v>
      </c>
      <c r="C243" s="33" t="s">
        <v>362</v>
      </c>
      <c r="D243" s="33" t="s">
        <v>363</v>
      </c>
      <c r="E243" s="33" t="s">
        <v>364</v>
      </c>
      <c r="F243" s="33" t="s">
        <v>379</v>
      </c>
      <c r="G243" s="33" t="s">
        <v>365</v>
      </c>
      <c r="H243" s="33" t="s">
        <v>366</v>
      </c>
      <c r="I243" s="33" t="s">
        <v>367</v>
      </c>
      <c r="J243" s="33" t="s">
        <v>368</v>
      </c>
      <c r="K243" s="34" t="s">
        <v>369</v>
      </c>
      <c r="L243" s="33" t="s">
        <v>370</v>
      </c>
      <c r="M243" s="35" t="s">
        <v>371</v>
      </c>
      <c r="N243" s="35" t="s">
        <v>372</v>
      </c>
    </row>
    <row r="244" spans="2:16">
      <c r="B244" s="46" t="s">
        <v>380</v>
      </c>
      <c r="C244" s="44"/>
      <c r="D244" s="41">
        <v>12.19</v>
      </c>
      <c r="E244" s="41">
        <v>27.06</v>
      </c>
      <c r="F244" s="3">
        <f>E244</f>
        <v>27.06</v>
      </c>
      <c r="G244" s="42" t="s">
        <v>323</v>
      </c>
      <c r="H244" s="42">
        <f>D244*E244/1000</f>
        <v>0.32986139999999997</v>
      </c>
      <c r="I244" s="41" t="s">
        <v>323</v>
      </c>
      <c r="J244" s="41"/>
      <c r="K244" s="41"/>
      <c r="L244" s="41"/>
      <c r="M244" s="44"/>
      <c r="N244" s="44" t="s">
        <v>381</v>
      </c>
    </row>
    <row r="245" spans="2:16">
      <c r="B245" s="25">
        <v>3.7</v>
      </c>
      <c r="C245" s="25">
        <v>105</v>
      </c>
      <c r="D245" s="25">
        <v>12.21</v>
      </c>
      <c r="E245" s="25">
        <v>0</v>
      </c>
      <c r="F245" s="3">
        <f t="shared" ref="F245:F260" si="3">$E$244+E245</f>
        <v>27.06</v>
      </c>
      <c r="G245" s="36">
        <f t="shared" ref="G245:G260" si="4">B245*C245/1000</f>
        <v>0.38850000000000001</v>
      </c>
      <c r="H245" s="36">
        <f t="shared" ref="H245:H260" si="5">D245*F245/1000</f>
        <v>0.33040259999999999</v>
      </c>
      <c r="I245" s="37">
        <f t="shared" ref="I245:I260" si="6">H245/G245</f>
        <v>0.8504571428571428</v>
      </c>
      <c r="J245" s="25">
        <v>28</v>
      </c>
      <c r="K245" s="25">
        <v>29</v>
      </c>
      <c r="L245" s="25">
        <v>2.8</v>
      </c>
      <c r="M245" s="3">
        <v>530</v>
      </c>
      <c r="N245" s="3" t="s">
        <v>382</v>
      </c>
    </row>
    <row r="246" spans="2:16">
      <c r="B246" s="25">
        <v>3.7</v>
      </c>
      <c r="C246" s="25">
        <v>203</v>
      </c>
      <c r="D246" s="25">
        <v>12.21</v>
      </c>
      <c r="E246" s="25">
        <v>22</v>
      </c>
      <c r="F246" s="3">
        <f t="shared" si="3"/>
        <v>49.06</v>
      </c>
      <c r="G246" s="36">
        <f t="shared" si="4"/>
        <v>0.75109999999999999</v>
      </c>
      <c r="H246" s="36">
        <f t="shared" si="5"/>
        <v>0.59902260000000007</v>
      </c>
      <c r="I246" s="37">
        <f t="shared" si="6"/>
        <v>0.79752709359605922</v>
      </c>
      <c r="J246" s="25">
        <v>29</v>
      </c>
      <c r="K246" s="25">
        <v>30</v>
      </c>
      <c r="L246" s="25">
        <v>3.9</v>
      </c>
      <c r="M246" s="3">
        <v>606</v>
      </c>
    </row>
    <row r="247" spans="2:16">
      <c r="B247" s="25">
        <v>3.7</v>
      </c>
      <c r="C247" s="25">
        <v>450</v>
      </c>
      <c r="D247" s="25">
        <v>12.22</v>
      </c>
      <c r="E247" s="25">
        <v>85.8</v>
      </c>
      <c r="F247" s="3">
        <f t="shared" si="3"/>
        <v>112.86</v>
      </c>
      <c r="G247" s="36">
        <f t="shared" si="4"/>
        <v>1.665</v>
      </c>
      <c r="H247" s="36">
        <f t="shared" si="5"/>
        <v>1.3791492000000001</v>
      </c>
      <c r="I247" s="37">
        <f t="shared" si="6"/>
        <v>0.82831783783783786</v>
      </c>
      <c r="J247" s="25">
        <v>34</v>
      </c>
      <c r="K247" s="25">
        <v>36</v>
      </c>
      <c r="L247" s="25">
        <v>9.6999999999999993</v>
      </c>
      <c r="M247" s="3">
        <v>555</v>
      </c>
    </row>
    <row r="248" spans="2:16">
      <c r="B248" s="25">
        <v>3.7</v>
      </c>
      <c r="C248" s="25">
        <v>512</v>
      </c>
      <c r="D248" s="25">
        <v>12.23</v>
      </c>
      <c r="E248" s="25">
        <v>96.9</v>
      </c>
      <c r="F248" s="3">
        <f t="shared" si="3"/>
        <v>123.96000000000001</v>
      </c>
      <c r="G248" s="36">
        <f t="shared" si="4"/>
        <v>1.8944000000000001</v>
      </c>
      <c r="H248" s="36">
        <f t="shared" si="5"/>
        <v>1.5160308000000002</v>
      </c>
      <c r="I248" s="37">
        <f t="shared" si="6"/>
        <v>0.80026963682432439</v>
      </c>
      <c r="J248" s="25">
        <v>36</v>
      </c>
      <c r="K248" s="25">
        <v>38</v>
      </c>
      <c r="L248" s="25">
        <v>11</v>
      </c>
      <c r="M248" s="3">
        <v>547</v>
      </c>
      <c r="N248" s="3" t="s">
        <v>383</v>
      </c>
    </row>
    <row r="249" spans="2:16">
      <c r="B249" s="25">
        <v>3.7</v>
      </c>
      <c r="C249" s="25">
        <v>474</v>
      </c>
      <c r="D249" s="25">
        <v>12.22</v>
      </c>
      <c r="E249" s="25">
        <v>93.3</v>
      </c>
      <c r="F249" s="3">
        <f t="shared" si="3"/>
        <v>120.36</v>
      </c>
      <c r="G249" s="36">
        <f t="shared" si="4"/>
        <v>1.7538000000000002</v>
      </c>
      <c r="H249" s="36">
        <f t="shared" si="5"/>
        <v>1.4707992000000001</v>
      </c>
      <c r="I249" s="37">
        <f t="shared" si="6"/>
        <v>0.83863564830653436</v>
      </c>
      <c r="J249" s="25">
        <v>37</v>
      </c>
      <c r="K249" s="25">
        <v>37</v>
      </c>
      <c r="L249" s="25">
        <v>8.5</v>
      </c>
      <c r="M249" s="3">
        <v>543</v>
      </c>
      <c r="N249" s="3" t="s">
        <v>384</v>
      </c>
    </row>
    <row r="250" spans="2:16">
      <c r="B250" s="25">
        <v>3.71</v>
      </c>
      <c r="C250" s="25">
        <v>540</v>
      </c>
      <c r="D250" s="25">
        <v>12.22</v>
      </c>
      <c r="E250" s="25">
        <v>108.8</v>
      </c>
      <c r="F250" s="3">
        <f t="shared" si="3"/>
        <v>135.85999999999999</v>
      </c>
      <c r="G250" s="36">
        <f t="shared" si="4"/>
        <v>2.0034000000000001</v>
      </c>
      <c r="H250" s="36">
        <f t="shared" si="5"/>
        <v>1.6602091999999999</v>
      </c>
      <c r="I250" s="37">
        <f t="shared" si="6"/>
        <v>0.82869581711091134</v>
      </c>
      <c r="J250" s="25"/>
      <c r="K250" s="25"/>
      <c r="L250" s="25"/>
      <c r="N250" s="3" t="s">
        <v>385</v>
      </c>
    </row>
    <row r="251" spans="2:16">
      <c r="B251" s="25">
        <v>3.71</v>
      </c>
      <c r="C251" s="25">
        <v>824</v>
      </c>
      <c r="D251" s="25">
        <v>12.23</v>
      </c>
      <c r="E251" s="25">
        <v>181.3</v>
      </c>
      <c r="F251" s="3">
        <f t="shared" si="3"/>
        <v>208.36</v>
      </c>
      <c r="G251" s="36">
        <f t="shared" si="4"/>
        <v>3.0570399999999998</v>
      </c>
      <c r="H251" s="36">
        <f t="shared" si="5"/>
        <v>2.5482428000000006</v>
      </c>
      <c r="I251" s="37">
        <f t="shared" si="6"/>
        <v>0.83356540967733517</v>
      </c>
      <c r="J251" s="25">
        <v>42</v>
      </c>
      <c r="K251" s="25">
        <v>42</v>
      </c>
      <c r="L251" s="25">
        <v>14.5</v>
      </c>
      <c r="M251" s="3">
        <v>543</v>
      </c>
      <c r="N251" s="3" t="s">
        <v>386</v>
      </c>
    </row>
    <row r="252" spans="2:16">
      <c r="B252" s="25">
        <v>3.69</v>
      </c>
      <c r="C252" s="25">
        <v>1200</v>
      </c>
      <c r="D252" s="25">
        <v>12.25</v>
      </c>
      <c r="E252" s="25">
        <v>269.3</v>
      </c>
      <c r="F252" s="3">
        <f t="shared" si="3"/>
        <v>296.36</v>
      </c>
      <c r="G252" s="36">
        <f t="shared" si="4"/>
        <v>4.4279999999999999</v>
      </c>
      <c r="H252" s="36">
        <f t="shared" si="5"/>
        <v>3.6304100000000004</v>
      </c>
      <c r="I252" s="37">
        <f t="shared" si="6"/>
        <v>0.81987579042457104</v>
      </c>
      <c r="J252" s="25">
        <v>49</v>
      </c>
      <c r="K252" s="25">
        <v>50</v>
      </c>
      <c r="L252" s="25">
        <v>21</v>
      </c>
      <c r="M252" s="3">
        <v>541</v>
      </c>
    </row>
    <row r="253" spans="2:16">
      <c r="B253" s="25">
        <v>3.69</v>
      </c>
      <c r="C253" s="25">
        <v>1556</v>
      </c>
      <c r="D253" s="25">
        <v>12.27</v>
      </c>
      <c r="E253" s="25">
        <v>345</v>
      </c>
      <c r="F253" s="3">
        <f t="shared" si="3"/>
        <v>372.06</v>
      </c>
      <c r="G253" s="36">
        <f t="shared" si="4"/>
        <v>5.7416400000000003</v>
      </c>
      <c r="H253" s="36">
        <f t="shared" si="5"/>
        <v>4.5651761999999998</v>
      </c>
      <c r="I253" s="37">
        <f t="shared" si="6"/>
        <v>0.79509969277070658</v>
      </c>
      <c r="J253" s="25">
        <v>62</v>
      </c>
      <c r="K253" s="25">
        <v>58</v>
      </c>
      <c r="L253" s="25">
        <v>27</v>
      </c>
      <c r="M253" s="3">
        <v>539</v>
      </c>
    </row>
    <row r="254" spans="2:16">
      <c r="B254" s="25">
        <v>3.6949999999999998</v>
      </c>
      <c r="C254" s="25">
        <v>1930</v>
      </c>
      <c r="D254" s="25">
        <v>12.29</v>
      </c>
      <c r="E254" s="25">
        <v>415</v>
      </c>
      <c r="F254" s="3">
        <f t="shared" si="3"/>
        <v>442.06</v>
      </c>
      <c r="G254" s="36">
        <f t="shared" si="4"/>
        <v>7.1313499999999994</v>
      </c>
      <c r="H254" s="36">
        <f t="shared" si="5"/>
        <v>5.4329173999999991</v>
      </c>
      <c r="I254" s="37">
        <f t="shared" si="6"/>
        <v>0.76183575339872533</v>
      </c>
      <c r="J254" s="25">
        <v>83</v>
      </c>
      <c r="K254" s="25">
        <v>75</v>
      </c>
      <c r="L254" s="25">
        <v>32</v>
      </c>
      <c r="M254" s="3">
        <v>536</v>
      </c>
    </row>
    <row r="255" spans="2:16">
      <c r="B255" s="25">
        <v>3.7</v>
      </c>
      <c r="C255" s="25">
        <v>2350</v>
      </c>
      <c r="D255" s="25">
        <v>12.32</v>
      </c>
      <c r="E255" s="25">
        <v>487</v>
      </c>
      <c r="F255" s="3">
        <f t="shared" si="3"/>
        <v>514.05999999999995</v>
      </c>
      <c r="G255" s="36">
        <f t="shared" si="4"/>
        <v>8.6950000000000003</v>
      </c>
      <c r="H255" s="36">
        <f t="shared" si="5"/>
        <v>6.3332191999999994</v>
      </c>
      <c r="I255" s="37">
        <f t="shared" si="6"/>
        <v>0.72837483611270837</v>
      </c>
      <c r="J255" s="25">
        <v>108</v>
      </c>
      <c r="K255" s="25">
        <v>92</v>
      </c>
      <c r="L255" s="25">
        <v>38</v>
      </c>
      <c r="M255" s="3">
        <v>529</v>
      </c>
      <c r="N255" s="3" t="s">
        <v>387</v>
      </c>
      <c r="P255" s="3" t="s">
        <v>388</v>
      </c>
    </row>
    <row r="256" spans="2:16">
      <c r="B256" s="25">
        <v>3.7</v>
      </c>
      <c r="C256" s="25">
        <v>37</v>
      </c>
      <c r="D256" s="25">
        <v>0</v>
      </c>
      <c r="E256" s="25">
        <v>0</v>
      </c>
      <c r="F256" s="3">
        <f t="shared" si="3"/>
        <v>27.06</v>
      </c>
      <c r="G256" s="36">
        <f t="shared" si="4"/>
        <v>0.13689999999999999</v>
      </c>
      <c r="H256" s="36">
        <f t="shared" si="5"/>
        <v>0</v>
      </c>
      <c r="I256" s="37">
        <f t="shared" si="6"/>
        <v>0</v>
      </c>
      <c r="J256" s="25">
        <v>31</v>
      </c>
      <c r="K256" s="25">
        <v>31</v>
      </c>
      <c r="L256" s="25">
        <v>0</v>
      </c>
      <c r="M256" s="3">
        <v>0</v>
      </c>
      <c r="N256" s="3" t="s">
        <v>389</v>
      </c>
    </row>
    <row r="257" spans="2:14">
      <c r="B257" s="25">
        <v>3.702</v>
      </c>
      <c r="C257" s="25">
        <v>641</v>
      </c>
      <c r="D257" s="25">
        <v>12.22</v>
      </c>
      <c r="E257" s="25">
        <v>130</v>
      </c>
      <c r="F257" s="3">
        <f t="shared" si="3"/>
        <v>157.06</v>
      </c>
      <c r="G257" s="36">
        <f t="shared" si="4"/>
        <v>2.3729819999999999</v>
      </c>
      <c r="H257" s="36">
        <f t="shared" si="5"/>
        <v>1.9192732000000001</v>
      </c>
      <c r="I257" s="37">
        <f t="shared" si="6"/>
        <v>0.80880225808708206</v>
      </c>
      <c r="J257" s="25">
        <v>39</v>
      </c>
      <c r="K257" s="25">
        <v>39</v>
      </c>
      <c r="L257" s="25">
        <v>68</v>
      </c>
      <c r="M257" s="3">
        <v>560</v>
      </c>
      <c r="N257" s="3" t="s">
        <v>390</v>
      </c>
    </row>
    <row r="258" spans="2:14">
      <c r="B258" s="25">
        <v>3.71</v>
      </c>
      <c r="C258" s="25">
        <v>1060</v>
      </c>
      <c r="D258" s="25">
        <v>12.24</v>
      </c>
      <c r="E258" s="25">
        <v>241.3</v>
      </c>
      <c r="F258" s="3">
        <f t="shared" si="3"/>
        <v>268.36</v>
      </c>
      <c r="G258" s="36">
        <f t="shared" si="4"/>
        <v>3.9325999999999999</v>
      </c>
      <c r="H258" s="36">
        <f t="shared" si="5"/>
        <v>3.2847263999999998</v>
      </c>
      <c r="I258" s="37">
        <f t="shared" si="6"/>
        <v>0.8352556578345115</v>
      </c>
      <c r="J258" s="25">
        <v>50</v>
      </c>
      <c r="K258" s="25">
        <v>50</v>
      </c>
      <c r="L258" s="25">
        <v>24</v>
      </c>
      <c r="M258" s="3">
        <v>541</v>
      </c>
      <c r="N258" s="3" t="s">
        <v>391</v>
      </c>
    </row>
    <row r="259" spans="2:14">
      <c r="B259" s="25">
        <v>3.7</v>
      </c>
      <c r="C259" s="25">
        <v>1480</v>
      </c>
      <c r="D259" s="25">
        <v>12.26</v>
      </c>
      <c r="E259" s="25">
        <v>333</v>
      </c>
      <c r="F259" s="3">
        <f t="shared" si="3"/>
        <v>360.06</v>
      </c>
      <c r="G259" s="36">
        <f t="shared" si="4"/>
        <v>5.476</v>
      </c>
      <c r="H259" s="36">
        <f t="shared" si="5"/>
        <v>4.4143356000000002</v>
      </c>
      <c r="I259" s="37">
        <f t="shared" si="6"/>
        <v>0.80612410518626743</v>
      </c>
      <c r="J259" s="25">
        <v>67</v>
      </c>
      <c r="K259" s="25">
        <v>64</v>
      </c>
      <c r="L259" s="25">
        <v>74</v>
      </c>
      <c r="M259" s="3">
        <v>544</v>
      </c>
      <c r="N259" s="3" t="s">
        <v>392</v>
      </c>
    </row>
    <row r="260" spans="2:14">
      <c r="B260" s="25">
        <v>3.6549999999999998</v>
      </c>
      <c r="C260" s="25" t="s">
        <v>323</v>
      </c>
      <c r="D260" s="25">
        <v>12.25</v>
      </c>
      <c r="E260" s="25">
        <v>306</v>
      </c>
      <c r="F260" s="3">
        <f t="shared" si="3"/>
        <v>333.06</v>
      </c>
      <c r="G260" s="36" t="e">
        <f t="shared" si="4"/>
        <v>#VALUE!</v>
      </c>
      <c r="H260" s="36">
        <f t="shared" si="5"/>
        <v>4.0799849999999998</v>
      </c>
      <c r="I260" s="37" t="e">
        <f t="shared" si="6"/>
        <v>#VALUE!</v>
      </c>
      <c r="J260" s="25">
        <v>93</v>
      </c>
      <c r="K260" s="25">
        <v>76</v>
      </c>
      <c r="L260" s="25">
        <v>23</v>
      </c>
      <c r="M260" s="3">
        <v>540</v>
      </c>
      <c r="N260" s="3" t="s">
        <v>393</v>
      </c>
    </row>
    <row r="261" spans="2:14">
      <c r="I261" s="25"/>
    </row>
    <row r="262" spans="2:14">
      <c r="B262" s="11" t="s">
        <v>394</v>
      </c>
      <c r="I262" s="25"/>
    </row>
    <row r="263" spans="2:14">
      <c r="B263" s="47" t="s">
        <v>365</v>
      </c>
      <c r="C263" s="47" t="s">
        <v>395</v>
      </c>
      <c r="D263" s="47" t="s">
        <v>396</v>
      </c>
      <c r="I263" s="25"/>
    </row>
    <row r="264" spans="2:14">
      <c r="B264" s="39">
        <v>2.37699E-2</v>
      </c>
      <c r="C264" s="40">
        <v>0</v>
      </c>
      <c r="I264" s="25"/>
    </row>
    <row r="265" spans="2:14">
      <c r="B265" s="39">
        <v>0.06</v>
      </c>
      <c r="C265" s="40">
        <v>0.48807000000000006</v>
      </c>
      <c r="I265" s="25"/>
    </row>
    <row r="266" spans="2:14">
      <c r="B266" s="39">
        <v>0.19208</v>
      </c>
      <c r="C266" s="40">
        <v>0.70141399416909622</v>
      </c>
      <c r="I266" s="25"/>
    </row>
    <row r="267" spans="2:14">
      <c r="B267" s="39">
        <v>0.25981169999999998</v>
      </c>
      <c r="C267" s="40">
        <v>0.72759002000294837</v>
      </c>
      <c r="I267" s="25"/>
    </row>
    <row r="268" spans="2:14">
      <c r="B268" s="39">
        <v>0.49991999999999998</v>
      </c>
      <c r="C268" s="40">
        <v>0.7586453832613218</v>
      </c>
      <c r="I268" s="25"/>
    </row>
    <row r="269" spans="2:14">
      <c r="B269" s="39">
        <v>1.0775999999999999</v>
      </c>
      <c r="C269" s="40">
        <v>0.76818207126948779</v>
      </c>
      <c r="I269" s="25"/>
    </row>
    <row r="270" spans="2:14">
      <c r="B270" s="39">
        <v>1.4818972000000001</v>
      </c>
      <c r="C270" s="40">
        <v>0.77122218734200976</v>
      </c>
      <c r="I270" s="25"/>
    </row>
    <row r="271" spans="2:14">
      <c r="B271" s="39">
        <v>2.4408000000000003</v>
      </c>
      <c r="C271" s="40">
        <v>0.77224680432645021</v>
      </c>
      <c r="D271" s="16"/>
      <c r="I271" s="25"/>
    </row>
    <row r="272" spans="2:14">
      <c r="B272" s="39">
        <v>3.3854100000000003</v>
      </c>
      <c r="C272" s="40">
        <v>0.77952448890976267</v>
      </c>
      <c r="I272" s="25"/>
    </row>
    <row r="273" spans="2:9">
      <c r="B273" s="39">
        <v>5.0541050000000007</v>
      </c>
      <c r="C273" s="40">
        <v>0.73749160336004094</v>
      </c>
      <c r="I273" s="25"/>
    </row>
    <row r="274" spans="2:9">
      <c r="B274" s="39">
        <v>7.1789900000000006</v>
      </c>
      <c r="C274" s="40">
        <v>0.71710087352120544</v>
      </c>
      <c r="I274" s="25"/>
    </row>
    <row r="275" spans="2:9">
      <c r="B275" s="39">
        <v>0</v>
      </c>
      <c r="D275" s="40">
        <v>0</v>
      </c>
      <c r="I275" s="25"/>
    </row>
    <row r="276" spans="2:9">
      <c r="B276" s="39">
        <v>0.75109999999999999</v>
      </c>
      <c r="D276" s="40">
        <v>0.79752709359605922</v>
      </c>
      <c r="I276" s="25"/>
    </row>
    <row r="277" spans="2:9">
      <c r="B277" s="39">
        <v>1.665</v>
      </c>
      <c r="D277" s="40">
        <v>0.82831783783783786</v>
      </c>
      <c r="H277" s="15"/>
      <c r="I277" s="25"/>
    </row>
    <row r="278" spans="2:9">
      <c r="B278" s="39">
        <v>2.0034000000000001</v>
      </c>
      <c r="D278" s="40">
        <v>0.82869581711091134</v>
      </c>
      <c r="H278" s="15"/>
      <c r="I278" s="25"/>
    </row>
    <row r="279" spans="2:9">
      <c r="B279" s="39">
        <v>3.0570399999999998</v>
      </c>
      <c r="D279" s="40">
        <v>0.83356540967733517</v>
      </c>
      <c r="H279" s="15"/>
      <c r="I279" s="25"/>
    </row>
    <row r="280" spans="2:9">
      <c r="B280" s="39">
        <v>4.4279999999999999</v>
      </c>
      <c r="D280" s="40">
        <v>0.81987579042457104</v>
      </c>
      <c r="H280" s="15"/>
      <c r="I280" s="25"/>
    </row>
    <row r="281" spans="2:9">
      <c r="B281" s="39">
        <v>5.7416400000000003</v>
      </c>
      <c r="D281" s="40">
        <v>0.79509969277070658</v>
      </c>
      <c r="H281" s="15"/>
      <c r="I281" s="25"/>
    </row>
    <row r="282" spans="2:9">
      <c r="B282" s="39">
        <v>7.1313499999999994</v>
      </c>
      <c r="D282" s="40">
        <v>0.76183575339872533</v>
      </c>
      <c r="H282" s="15"/>
      <c r="I282" s="25"/>
    </row>
    <row r="283" spans="2:9">
      <c r="B283" s="39">
        <v>8.6950000000000003</v>
      </c>
      <c r="D283" s="40">
        <v>0.72837483611270837</v>
      </c>
      <c r="H283" s="15"/>
      <c r="I283" s="25"/>
    </row>
    <row r="284" spans="2:9">
      <c r="D284" s="12"/>
      <c r="H284" s="15"/>
      <c r="I284" s="25"/>
    </row>
    <row r="285" spans="2:9">
      <c r="D285" s="12"/>
      <c r="H285" s="15"/>
      <c r="I285" s="25"/>
    </row>
    <row r="286" spans="2:9">
      <c r="D286" s="12"/>
      <c r="H286" s="15"/>
      <c r="I286" s="25"/>
    </row>
    <row r="287" spans="2:9">
      <c r="D287" s="12"/>
      <c r="H287" s="15"/>
      <c r="I287" s="25"/>
    </row>
    <row r="288" spans="2:9">
      <c r="D288" s="12"/>
      <c r="H288" s="15"/>
      <c r="I288" s="25"/>
    </row>
    <row r="289" spans="4:9">
      <c r="D289" s="12"/>
      <c r="H289" s="15"/>
      <c r="I289" s="25"/>
    </row>
    <row r="290" spans="4:9">
      <c r="D290" s="12"/>
      <c r="H290" s="15"/>
      <c r="I290" s="25"/>
    </row>
    <row r="291" spans="4:9">
      <c r="D291" s="12"/>
      <c r="H291" s="15"/>
      <c r="I291" s="25"/>
    </row>
    <row r="292" spans="4:9">
      <c r="D292" s="12"/>
      <c r="H292" s="15"/>
      <c r="I292" s="25"/>
    </row>
    <row r="293" spans="4:9">
      <c r="D293" s="12"/>
      <c r="H293" s="15"/>
      <c r="I293" s="25"/>
    </row>
    <row r="294" spans="4:9">
      <c r="D294" s="12"/>
      <c r="H294" s="15"/>
      <c r="I294" s="25"/>
    </row>
    <row r="295" spans="4:9">
      <c r="D295" s="12"/>
      <c r="H295" s="15"/>
      <c r="I295" s="25"/>
    </row>
    <row r="296" spans="4:9">
      <c r="D296" s="12"/>
      <c r="H296" s="15"/>
      <c r="I296" s="25"/>
    </row>
    <row r="297" spans="4:9">
      <c r="D297" s="12"/>
      <c r="H297" s="15"/>
      <c r="I297" s="25"/>
    </row>
    <row r="298" spans="4:9">
      <c r="D298" s="12"/>
      <c r="H298" s="15"/>
      <c r="I298" s="25"/>
    </row>
    <row r="299" spans="4:9">
      <c r="D299" s="12"/>
      <c r="H299" s="15"/>
      <c r="I299" s="25"/>
    </row>
    <row r="300" spans="4:9">
      <c r="D300" s="12"/>
      <c r="H300" s="15"/>
      <c r="I300" s="25"/>
    </row>
    <row r="301" spans="4:9">
      <c r="D301" s="12"/>
      <c r="H301" s="15"/>
      <c r="I301" s="25"/>
    </row>
    <row r="302" spans="4:9">
      <c r="D302" s="12"/>
      <c r="H302" s="15"/>
      <c r="I302" s="25"/>
    </row>
    <row r="303" spans="4:9">
      <c r="D303" s="12"/>
      <c r="H303" s="15"/>
      <c r="I303" s="25"/>
    </row>
    <row r="304" spans="4:9">
      <c r="D304" s="12"/>
      <c r="H304" s="15"/>
      <c r="I304" s="25"/>
    </row>
    <row r="305" spans="4:9">
      <c r="D305" s="12"/>
      <c r="H305" s="15"/>
      <c r="I305" s="25"/>
    </row>
    <row r="306" spans="4:9">
      <c r="D306" s="12"/>
      <c r="H306" s="15"/>
      <c r="I306" s="25"/>
    </row>
    <row r="307" spans="4:9">
      <c r="D307" s="12"/>
      <c r="H307" s="15"/>
      <c r="I307" s="25"/>
    </row>
    <row r="308" spans="4:9">
      <c r="D308" s="12"/>
      <c r="H308" s="15"/>
      <c r="I308" s="25"/>
    </row>
    <row r="309" spans="4:9">
      <c r="D309" s="12"/>
      <c r="H309" s="15"/>
      <c r="I309" s="25"/>
    </row>
    <row r="310" spans="4:9">
      <c r="D310" s="12"/>
      <c r="H310" s="15"/>
      <c r="I310" s="25"/>
    </row>
    <row r="311" spans="4:9">
      <c r="D311" s="12"/>
      <c r="H311" s="15"/>
      <c r="I311" s="25"/>
    </row>
    <row r="312" spans="4:9">
      <c r="D312" s="12"/>
      <c r="H312" s="15"/>
      <c r="I312" s="25"/>
    </row>
    <row r="313" spans="4:9">
      <c r="D313" s="12"/>
      <c r="H313" s="15"/>
      <c r="I313" s="25"/>
    </row>
    <row r="314" spans="4:9">
      <c r="D314" s="12"/>
      <c r="H314" s="15"/>
      <c r="I314" s="25"/>
    </row>
    <row r="315" spans="4:9">
      <c r="D315" s="12"/>
      <c r="H315" s="15"/>
      <c r="I315" s="25"/>
    </row>
    <row r="316" spans="4:9">
      <c r="D316" s="12"/>
      <c r="H316" s="15"/>
      <c r="I316" s="25"/>
    </row>
    <row r="317" spans="4:9">
      <c r="D317" s="12"/>
      <c r="H317" s="15"/>
      <c r="I317" s="25"/>
    </row>
    <row r="318" spans="4:9">
      <c r="D318" s="12"/>
      <c r="H318" s="15"/>
      <c r="I318" s="25"/>
    </row>
    <row r="319" spans="4:9">
      <c r="D319" s="12"/>
      <c r="H319" s="15"/>
      <c r="I319" s="25"/>
    </row>
    <row r="320" spans="4:9">
      <c r="D320" s="12"/>
      <c r="H320" s="15"/>
      <c r="I320" s="25"/>
    </row>
    <row r="321" spans="4:9">
      <c r="D321" s="12"/>
      <c r="H321" s="15"/>
      <c r="I321" s="25"/>
    </row>
    <row r="322" spans="4:9">
      <c r="D322" s="12"/>
      <c r="H322" s="15"/>
      <c r="I322" s="25"/>
    </row>
    <row r="323" spans="4:9">
      <c r="D323" s="12"/>
      <c r="H323" s="15"/>
      <c r="I323" s="25"/>
    </row>
    <row r="324" spans="4:9">
      <c r="D324" s="12"/>
      <c r="H324" s="15"/>
      <c r="I324" s="25"/>
    </row>
    <row r="325" spans="4:9">
      <c r="D325" s="12"/>
      <c r="H325" s="15"/>
      <c r="I325" s="25"/>
    </row>
    <row r="326" spans="4:9">
      <c r="D326" s="12"/>
      <c r="H326" s="15"/>
      <c r="I326" s="25"/>
    </row>
    <row r="327" spans="4:9">
      <c r="D327" s="12"/>
      <c r="H327" s="15"/>
      <c r="I327" s="25"/>
    </row>
    <row r="328" spans="4:9">
      <c r="D328" s="12"/>
      <c r="H328" s="15"/>
      <c r="I328" s="25"/>
    </row>
    <row r="329" spans="4:9">
      <c r="D329" s="12"/>
      <c r="H329" s="15"/>
      <c r="I329" s="25"/>
    </row>
    <row r="330" spans="4:9">
      <c r="D330" s="12"/>
      <c r="H330" s="15"/>
      <c r="I330" s="25"/>
    </row>
    <row r="331" spans="4:9">
      <c r="D331" s="12"/>
      <c r="H331" s="15"/>
      <c r="I331" s="25"/>
    </row>
    <row r="332" spans="4:9">
      <c r="D332" s="12"/>
      <c r="H332" s="15"/>
      <c r="I332" s="25"/>
    </row>
    <row r="333" spans="4:9">
      <c r="D333" s="12"/>
      <c r="H333" s="15"/>
      <c r="I333" s="25"/>
    </row>
    <row r="334" spans="4:9">
      <c r="D334" s="12"/>
      <c r="H334" s="15"/>
      <c r="I334" s="25"/>
    </row>
    <row r="335" spans="4:9">
      <c r="D335" s="12"/>
      <c r="H335" s="15"/>
      <c r="I335" s="25"/>
    </row>
    <row r="336" spans="4:9">
      <c r="D336" s="12"/>
      <c r="H336" s="15"/>
      <c r="I336" s="25"/>
    </row>
    <row r="337" spans="4:9">
      <c r="D337" s="12"/>
      <c r="H337" s="15"/>
      <c r="I337" s="25"/>
    </row>
    <row r="338" spans="4:9">
      <c r="D338" s="12"/>
      <c r="H338" s="15"/>
      <c r="I338" s="25"/>
    </row>
    <row r="339" spans="4:9">
      <c r="D339" s="12"/>
      <c r="H339" s="15"/>
      <c r="I339" s="25"/>
    </row>
    <row r="340" spans="4:9">
      <c r="D340" s="12"/>
      <c r="H340" s="15"/>
      <c r="I340" s="25"/>
    </row>
    <row r="341" spans="4:9">
      <c r="D341" s="12"/>
      <c r="H341" s="15"/>
      <c r="I341" s="25"/>
    </row>
    <row r="342" spans="4:9">
      <c r="D342" s="12"/>
      <c r="H342" s="15"/>
      <c r="I342" s="25"/>
    </row>
    <row r="343" spans="4:9">
      <c r="D343" s="12"/>
      <c r="H343" s="15"/>
      <c r="I343" s="25"/>
    </row>
    <row r="344" spans="4:9">
      <c r="D344" s="12"/>
      <c r="H344" s="15"/>
      <c r="I344" s="25"/>
    </row>
    <row r="345" spans="4:9">
      <c r="D345" s="12"/>
      <c r="H345" s="15"/>
      <c r="I345" s="25"/>
    </row>
    <row r="346" spans="4:9">
      <c r="D346" s="12"/>
      <c r="H346" s="15"/>
      <c r="I346" s="25"/>
    </row>
    <row r="347" spans="4:9">
      <c r="D347" s="12"/>
      <c r="H347" s="15"/>
      <c r="I347" s="25"/>
    </row>
    <row r="348" spans="4:9">
      <c r="D348" s="12"/>
      <c r="H348" s="15"/>
      <c r="I348" s="25"/>
    </row>
    <row r="349" spans="4:9">
      <c r="D349" s="12"/>
      <c r="H349" s="15"/>
      <c r="I349" s="25"/>
    </row>
    <row r="350" spans="4:9">
      <c r="D350" s="12"/>
      <c r="H350" s="15"/>
      <c r="I350" s="25"/>
    </row>
    <row r="351" spans="4:9">
      <c r="D351" s="12"/>
      <c r="H351" s="15"/>
      <c r="I351" s="25"/>
    </row>
    <row r="352" spans="4:9">
      <c r="D352" s="12"/>
      <c r="H352" s="15"/>
      <c r="I352" s="25"/>
    </row>
    <row r="353" spans="4:9">
      <c r="D353" s="12"/>
      <c r="H353" s="15"/>
      <c r="I353" s="25"/>
    </row>
    <row r="354" spans="4:9">
      <c r="D354" s="12"/>
      <c r="H354" s="15"/>
      <c r="I354" s="25"/>
    </row>
    <row r="355" spans="4:9">
      <c r="D355" s="12"/>
      <c r="H355" s="15"/>
      <c r="I355" s="25"/>
    </row>
    <row r="356" spans="4:9">
      <c r="D356" s="12"/>
      <c r="H356" s="15"/>
      <c r="I356" s="25"/>
    </row>
    <row r="357" spans="4:9">
      <c r="D357" s="12"/>
      <c r="H357" s="15"/>
      <c r="I357" s="25"/>
    </row>
    <row r="358" spans="4:9">
      <c r="D358" s="12"/>
      <c r="H358" s="15"/>
      <c r="I358" s="25"/>
    </row>
    <row r="359" spans="4:9">
      <c r="D359" s="12"/>
      <c r="H359" s="15"/>
      <c r="I359" s="25"/>
    </row>
    <row r="360" spans="4:9">
      <c r="D360" s="12"/>
      <c r="H360" s="15"/>
      <c r="I360" s="25"/>
    </row>
    <row r="361" spans="4:9">
      <c r="D361" s="12"/>
      <c r="H361" s="15"/>
      <c r="I361" s="25"/>
    </row>
    <row r="362" spans="4:9">
      <c r="D362" s="12"/>
      <c r="H362" s="15"/>
      <c r="I362" s="25"/>
    </row>
    <row r="363" spans="4:9">
      <c r="D363" s="12"/>
      <c r="H363" s="15"/>
      <c r="I363" s="25"/>
    </row>
    <row r="364" spans="4:9">
      <c r="D364" s="12"/>
      <c r="H364" s="15"/>
      <c r="I364" s="25"/>
    </row>
    <row r="365" spans="4:9">
      <c r="D365" s="12"/>
      <c r="H365" s="15"/>
      <c r="I365" s="25"/>
    </row>
    <row r="366" spans="4:9">
      <c r="D366" s="12"/>
      <c r="H366" s="15"/>
      <c r="I366" s="25"/>
    </row>
    <row r="367" spans="4:9">
      <c r="D367" s="12"/>
      <c r="H367" s="15"/>
      <c r="I367" s="25"/>
    </row>
    <row r="368" spans="4:9">
      <c r="D368" s="12"/>
      <c r="H368" s="15"/>
      <c r="I368" s="25"/>
    </row>
    <row r="369" spans="4:9">
      <c r="D369" s="12"/>
      <c r="H369" s="15"/>
      <c r="I369" s="25"/>
    </row>
    <row r="370" spans="4:9">
      <c r="D370" s="12"/>
      <c r="H370" s="15"/>
      <c r="I370" s="25"/>
    </row>
    <row r="371" spans="4:9">
      <c r="D371" s="12"/>
      <c r="H371" s="15"/>
      <c r="I371" s="25"/>
    </row>
    <row r="372" spans="4:9">
      <c r="D372" s="12"/>
      <c r="H372" s="15"/>
      <c r="I372" s="25"/>
    </row>
    <row r="373" spans="4:9">
      <c r="D373" s="12"/>
      <c r="H373" s="15"/>
      <c r="I373" s="25"/>
    </row>
    <row r="374" spans="4:9">
      <c r="D374" s="12"/>
      <c r="H374" s="15"/>
      <c r="I374" s="25"/>
    </row>
    <row r="375" spans="4:9">
      <c r="D375" s="12"/>
      <c r="H375" s="15"/>
      <c r="I375" s="25"/>
    </row>
    <row r="376" spans="4:9">
      <c r="D376" s="12"/>
      <c r="H376" s="15"/>
      <c r="I376" s="25"/>
    </row>
    <row r="377" spans="4:9">
      <c r="D377" s="12"/>
      <c r="H377" s="15"/>
      <c r="I377" s="25"/>
    </row>
    <row r="378" spans="4:9">
      <c r="D378" s="12"/>
      <c r="H378" s="15"/>
      <c r="I378" s="25"/>
    </row>
    <row r="379" spans="4:9">
      <c r="D379" s="12"/>
      <c r="H379" s="15"/>
      <c r="I379" s="25"/>
    </row>
    <row r="380" spans="4:9">
      <c r="D380" s="12"/>
      <c r="H380" s="15"/>
      <c r="I380" s="25"/>
    </row>
    <row r="381" spans="4:9">
      <c r="D381" s="12"/>
      <c r="H381" s="15"/>
      <c r="I381" s="25"/>
    </row>
    <row r="382" spans="4:9">
      <c r="D382" s="12"/>
      <c r="H382" s="15"/>
      <c r="I382" s="25"/>
    </row>
    <row r="383" spans="4:9">
      <c r="D383" s="12"/>
      <c r="H383" s="15"/>
      <c r="I383" s="25"/>
    </row>
    <row r="384" spans="4:9">
      <c r="D384" s="12"/>
      <c r="H384" s="15"/>
      <c r="I384" s="25"/>
    </row>
    <row r="385" spans="4:9">
      <c r="D385" s="12"/>
      <c r="H385" s="15"/>
      <c r="I385" s="25"/>
    </row>
    <row r="386" spans="4:9">
      <c r="D386" s="12"/>
      <c r="H386" s="15"/>
      <c r="I386" s="25"/>
    </row>
    <row r="387" spans="4:9">
      <c r="D387" s="12"/>
      <c r="H387" s="15"/>
      <c r="I387" s="25"/>
    </row>
    <row r="388" spans="4:9">
      <c r="D388" s="12"/>
      <c r="H388" s="15"/>
      <c r="I388" s="25"/>
    </row>
    <row r="389" spans="4:9">
      <c r="D389" s="12"/>
      <c r="H389" s="15"/>
      <c r="I389" s="25"/>
    </row>
    <row r="390" spans="4:9">
      <c r="D390" s="12"/>
      <c r="H390" s="15"/>
      <c r="I390" s="25"/>
    </row>
    <row r="391" spans="4:9">
      <c r="D391" s="12"/>
      <c r="H391" s="15"/>
      <c r="I391" s="25"/>
    </row>
    <row r="392" spans="4:9">
      <c r="D392" s="12"/>
      <c r="H392" s="15"/>
      <c r="I392" s="25"/>
    </row>
    <row r="393" spans="4:9">
      <c r="D393" s="12"/>
      <c r="H393" s="15"/>
      <c r="I393" s="25"/>
    </row>
    <row r="394" spans="4:9">
      <c r="D394" s="12"/>
      <c r="H394" s="15"/>
      <c r="I394" s="25"/>
    </row>
    <row r="395" spans="4:9">
      <c r="D395" s="12"/>
      <c r="H395" s="15"/>
      <c r="I395" s="25"/>
    </row>
    <row r="396" spans="4:9">
      <c r="D396" s="12"/>
      <c r="H396" s="15"/>
      <c r="I396" s="25"/>
    </row>
    <row r="397" spans="4:9">
      <c r="D397" s="12"/>
      <c r="H397" s="15"/>
      <c r="I397" s="25"/>
    </row>
    <row r="398" spans="4:9">
      <c r="D398" s="12"/>
      <c r="H398" s="15"/>
      <c r="I398" s="25"/>
    </row>
    <row r="399" spans="4:9">
      <c r="D399" s="12"/>
      <c r="H399" s="15"/>
      <c r="I399" s="25"/>
    </row>
    <row r="400" spans="4:9">
      <c r="D400" s="12"/>
      <c r="H400" s="15"/>
      <c r="I400" s="25"/>
    </row>
    <row r="401" spans="4:9">
      <c r="D401" s="12"/>
      <c r="H401" s="15"/>
      <c r="I401" s="25"/>
    </row>
    <row r="402" spans="4:9">
      <c r="D402" s="12"/>
      <c r="H402" s="15"/>
      <c r="I402" s="25"/>
    </row>
    <row r="403" spans="4:9">
      <c r="D403" s="12"/>
      <c r="H403" s="15"/>
      <c r="I403" s="25"/>
    </row>
    <row r="404" spans="4:9">
      <c r="D404" s="12"/>
      <c r="H404" s="15"/>
      <c r="I404" s="25"/>
    </row>
    <row r="405" spans="4:9">
      <c r="D405" s="12"/>
      <c r="H405" s="15"/>
      <c r="I405" s="25"/>
    </row>
    <row r="406" spans="4:9">
      <c r="D406" s="12"/>
      <c r="H406" s="15"/>
      <c r="I406" s="25"/>
    </row>
    <row r="407" spans="4:9">
      <c r="D407" s="12"/>
      <c r="H407" s="15"/>
      <c r="I407" s="25"/>
    </row>
    <row r="408" spans="4:9">
      <c r="D408" s="12"/>
      <c r="H408" s="15"/>
      <c r="I408" s="25"/>
    </row>
    <row r="409" spans="4:9">
      <c r="D409" s="12"/>
      <c r="H409" s="15"/>
      <c r="I409" s="25"/>
    </row>
    <row r="410" spans="4:9">
      <c r="D410" s="12"/>
      <c r="H410" s="15"/>
      <c r="I410" s="25"/>
    </row>
    <row r="411" spans="4:9">
      <c r="D411" s="12"/>
      <c r="H411" s="15"/>
      <c r="I411" s="25"/>
    </row>
    <row r="412" spans="4:9">
      <c r="D412" s="12"/>
      <c r="H412" s="15"/>
      <c r="I412" s="25"/>
    </row>
    <row r="413" spans="4:9">
      <c r="D413" s="12"/>
      <c r="H413" s="15"/>
      <c r="I413" s="25"/>
    </row>
    <row r="414" spans="4:9">
      <c r="D414" s="12"/>
      <c r="H414" s="15"/>
      <c r="I414" s="25"/>
    </row>
    <row r="415" spans="4:9">
      <c r="D415" s="12"/>
      <c r="H415" s="15"/>
      <c r="I415" s="25"/>
    </row>
    <row r="416" spans="4:9">
      <c r="D416" s="12"/>
      <c r="H416" s="15"/>
      <c r="I416" s="25"/>
    </row>
    <row r="417" spans="4:9">
      <c r="D417" s="12"/>
      <c r="H417" s="15"/>
      <c r="I417" s="25"/>
    </row>
    <row r="418" spans="4:9">
      <c r="D418" s="12"/>
      <c r="H418" s="15"/>
      <c r="I418" s="25"/>
    </row>
    <row r="419" spans="4:9">
      <c r="D419" s="12"/>
      <c r="H419" s="15"/>
      <c r="I419" s="25"/>
    </row>
    <row r="420" spans="4:9">
      <c r="D420" s="12"/>
      <c r="H420" s="15"/>
      <c r="I420" s="25"/>
    </row>
    <row r="421" spans="4:9">
      <c r="D421" s="12"/>
      <c r="H421" s="15"/>
      <c r="I421" s="25"/>
    </row>
    <row r="422" spans="4:9">
      <c r="D422" s="12"/>
      <c r="H422" s="15"/>
      <c r="I422" s="25"/>
    </row>
    <row r="423" spans="4:9">
      <c r="D423" s="12"/>
      <c r="H423" s="15"/>
      <c r="I423" s="25"/>
    </row>
    <row r="424" spans="4:9">
      <c r="D424" s="12"/>
      <c r="H424" s="15"/>
      <c r="I424" s="25"/>
    </row>
    <row r="425" spans="4:9">
      <c r="D425" s="12"/>
      <c r="H425" s="15"/>
      <c r="I425" s="25"/>
    </row>
    <row r="426" spans="4:9">
      <c r="D426" s="12"/>
      <c r="H426" s="15"/>
      <c r="I426" s="25"/>
    </row>
    <row r="427" spans="4:9">
      <c r="D427" s="12"/>
      <c r="H427" s="15"/>
      <c r="I427" s="25"/>
    </row>
    <row r="428" spans="4:9">
      <c r="D428" s="12"/>
      <c r="H428" s="15"/>
      <c r="I428" s="25"/>
    </row>
    <row r="429" spans="4:9">
      <c r="D429" s="12"/>
      <c r="H429" s="15"/>
      <c r="I429" s="25"/>
    </row>
    <row r="430" spans="4:9">
      <c r="D430" s="12"/>
      <c r="H430" s="15"/>
      <c r="I430" s="25"/>
    </row>
    <row r="431" spans="4:9">
      <c r="D431" s="12"/>
      <c r="H431" s="15"/>
      <c r="I431" s="25"/>
    </row>
    <row r="432" spans="4:9">
      <c r="D432" s="12"/>
      <c r="H432" s="15"/>
      <c r="I432" s="25"/>
    </row>
    <row r="433" spans="4:9">
      <c r="D433" s="12"/>
      <c r="H433" s="15"/>
      <c r="I433" s="25"/>
    </row>
    <row r="434" spans="4:9">
      <c r="D434" s="12"/>
      <c r="H434" s="15"/>
      <c r="I434" s="25"/>
    </row>
    <row r="435" spans="4:9">
      <c r="D435" s="12"/>
      <c r="H435" s="15"/>
      <c r="I435" s="25"/>
    </row>
    <row r="436" spans="4:9">
      <c r="D436" s="12"/>
      <c r="H436" s="15"/>
      <c r="I436" s="25"/>
    </row>
    <row r="437" spans="4:9">
      <c r="D437" s="12"/>
      <c r="H437" s="15"/>
      <c r="I437" s="25"/>
    </row>
    <row r="438" spans="4:9">
      <c r="D438" s="12"/>
      <c r="H438" s="15"/>
      <c r="I438" s="25"/>
    </row>
    <row r="439" spans="4:9">
      <c r="D439" s="12"/>
      <c r="H439" s="15"/>
      <c r="I439" s="25"/>
    </row>
    <row r="440" spans="4:9">
      <c r="D440" s="12"/>
      <c r="H440" s="15"/>
      <c r="I440" s="25"/>
    </row>
    <row r="441" spans="4:9">
      <c r="D441" s="12"/>
      <c r="H441" s="15"/>
      <c r="I441" s="25"/>
    </row>
    <row r="442" spans="4:9">
      <c r="D442" s="12"/>
      <c r="H442" s="15"/>
      <c r="I442" s="25"/>
    </row>
    <row r="443" spans="4:9">
      <c r="D443" s="12"/>
      <c r="H443" s="15"/>
      <c r="I443" s="25"/>
    </row>
    <row r="444" spans="4:9">
      <c r="D444" s="12"/>
      <c r="H444" s="15"/>
      <c r="I444" s="25"/>
    </row>
    <row r="445" spans="4:9">
      <c r="D445" s="12"/>
      <c r="H445" s="15"/>
      <c r="I445" s="25"/>
    </row>
    <row r="446" spans="4:9">
      <c r="D446" s="12"/>
      <c r="H446" s="15"/>
      <c r="I446" s="25"/>
    </row>
    <row r="447" spans="4:9">
      <c r="D447" s="12"/>
      <c r="H447" s="15"/>
      <c r="I447" s="25"/>
    </row>
    <row r="448" spans="4:9">
      <c r="D448" s="12"/>
      <c r="H448" s="15"/>
      <c r="I448" s="25"/>
    </row>
    <row r="449" spans="4:9">
      <c r="D449" s="12"/>
      <c r="H449" s="15"/>
      <c r="I449" s="25"/>
    </row>
    <row r="450" spans="4:9">
      <c r="D450" s="12"/>
      <c r="H450" s="15"/>
      <c r="I450" s="25"/>
    </row>
    <row r="451" spans="4:9">
      <c r="D451" s="12"/>
      <c r="H451" s="15"/>
      <c r="I451" s="25"/>
    </row>
    <row r="452" spans="4:9">
      <c r="D452" s="12"/>
      <c r="H452" s="15"/>
      <c r="I452" s="25"/>
    </row>
    <row r="453" spans="4:9">
      <c r="D453" s="12"/>
      <c r="H453" s="15"/>
      <c r="I453" s="25"/>
    </row>
    <row r="454" spans="4:9">
      <c r="D454" s="12"/>
      <c r="H454" s="15"/>
      <c r="I454" s="25"/>
    </row>
    <row r="455" spans="4:9">
      <c r="D455" s="12"/>
      <c r="H455" s="15"/>
      <c r="I455" s="25"/>
    </row>
    <row r="456" spans="4:9">
      <c r="D456" s="12"/>
      <c r="H456" s="15"/>
      <c r="I456" s="25"/>
    </row>
    <row r="457" spans="4:9">
      <c r="D457" s="12"/>
      <c r="H457" s="15"/>
      <c r="I457" s="25"/>
    </row>
    <row r="458" spans="4:9">
      <c r="D458" s="12"/>
      <c r="H458" s="15"/>
      <c r="I458" s="25"/>
    </row>
    <row r="459" spans="4:9">
      <c r="D459" s="12"/>
      <c r="H459" s="15"/>
      <c r="I459" s="25"/>
    </row>
    <row r="460" spans="4:9">
      <c r="D460" s="12"/>
      <c r="H460" s="15"/>
      <c r="I460" s="25"/>
    </row>
    <row r="461" spans="4:9">
      <c r="D461" s="12"/>
      <c r="H461" s="15"/>
      <c r="I461" s="25"/>
    </row>
    <row r="462" spans="4:9">
      <c r="D462" s="12"/>
      <c r="H462" s="15"/>
      <c r="I462" s="25"/>
    </row>
    <row r="463" spans="4:9">
      <c r="D463" s="12"/>
      <c r="H463" s="15"/>
      <c r="I463" s="25"/>
    </row>
    <row r="464" spans="4:9">
      <c r="D464" s="12"/>
      <c r="H464" s="15"/>
      <c r="I464" s="25"/>
    </row>
    <row r="465" spans="4:9">
      <c r="D465" s="12"/>
      <c r="H465" s="15"/>
      <c r="I465" s="25"/>
    </row>
    <row r="466" spans="4:9">
      <c r="D466" s="12"/>
      <c r="H466" s="15"/>
      <c r="I466" s="25"/>
    </row>
    <row r="467" spans="4:9">
      <c r="D467" s="12"/>
      <c r="H467" s="15"/>
      <c r="I467" s="25"/>
    </row>
    <row r="468" spans="4:9">
      <c r="D468" s="12"/>
      <c r="H468" s="15"/>
      <c r="I468" s="25"/>
    </row>
    <row r="469" spans="4:9">
      <c r="D469" s="12"/>
      <c r="H469" s="15"/>
      <c r="I469" s="25"/>
    </row>
    <row r="470" spans="4:9">
      <c r="D470" s="12"/>
      <c r="H470" s="15"/>
      <c r="I470" s="25"/>
    </row>
    <row r="471" spans="4:9">
      <c r="D471" s="12"/>
      <c r="H471" s="15"/>
      <c r="I471" s="25"/>
    </row>
    <row r="472" spans="4:9">
      <c r="D472" s="12"/>
      <c r="H472" s="15"/>
      <c r="I472" s="25"/>
    </row>
    <row r="473" spans="4:9">
      <c r="D473" s="12"/>
      <c r="H473" s="15"/>
      <c r="I473" s="25"/>
    </row>
    <row r="474" spans="4:9">
      <c r="D474" s="12"/>
      <c r="H474" s="15"/>
      <c r="I474" s="25"/>
    </row>
    <row r="475" spans="4:9">
      <c r="D475" s="12"/>
      <c r="H475" s="15"/>
      <c r="I475" s="25"/>
    </row>
    <row r="476" spans="4:9">
      <c r="D476" s="12"/>
      <c r="H476" s="15"/>
      <c r="I476" s="25"/>
    </row>
    <row r="477" spans="4:9">
      <c r="D477" s="12"/>
      <c r="H477" s="15"/>
      <c r="I477" s="25"/>
    </row>
    <row r="478" spans="4:9">
      <c r="D478" s="12"/>
      <c r="H478" s="15"/>
      <c r="I478" s="25"/>
    </row>
    <row r="479" spans="4:9">
      <c r="D479" s="12"/>
      <c r="H479" s="15"/>
      <c r="I479" s="25"/>
    </row>
    <row r="480" spans="4:9">
      <c r="D480" s="12"/>
      <c r="H480" s="15"/>
      <c r="I480" s="25"/>
    </row>
    <row r="481" spans="4:9">
      <c r="D481" s="12"/>
      <c r="H481" s="15"/>
      <c r="I481" s="25"/>
    </row>
    <row r="482" spans="4:9">
      <c r="D482" s="12"/>
      <c r="H482" s="15"/>
      <c r="I482" s="25"/>
    </row>
    <row r="483" spans="4:9">
      <c r="D483" s="12"/>
      <c r="H483" s="15"/>
      <c r="I483" s="25"/>
    </row>
    <row r="484" spans="4:9">
      <c r="D484" s="12"/>
      <c r="H484" s="15"/>
      <c r="I484" s="25"/>
    </row>
    <row r="485" spans="4:9">
      <c r="D485" s="12"/>
      <c r="H485" s="15"/>
      <c r="I485" s="25"/>
    </row>
    <row r="486" spans="4:9">
      <c r="D486" s="12"/>
      <c r="H486" s="15"/>
      <c r="I486" s="25"/>
    </row>
    <row r="487" spans="4:9">
      <c r="D487" s="12"/>
      <c r="H487" s="15"/>
      <c r="I487" s="25"/>
    </row>
    <row r="488" spans="4:9">
      <c r="D488" s="12"/>
      <c r="H488" s="15"/>
      <c r="I488" s="25"/>
    </row>
    <row r="489" spans="4:9">
      <c r="D489" s="12"/>
      <c r="H489" s="15"/>
      <c r="I489" s="25"/>
    </row>
    <row r="490" spans="4:9">
      <c r="D490" s="12"/>
      <c r="H490" s="15"/>
      <c r="I490" s="25"/>
    </row>
    <row r="491" spans="4:9">
      <c r="D491" s="12"/>
      <c r="H491" s="15"/>
      <c r="I491" s="25"/>
    </row>
    <row r="492" spans="4:9">
      <c r="D492" s="12"/>
      <c r="H492" s="15"/>
      <c r="I492" s="25"/>
    </row>
    <row r="493" spans="4:9">
      <c r="D493" s="12"/>
      <c r="H493" s="15"/>
      <c r="I493" s="25"/>
    </row>
    <row r="494" spans="4:9">
      <c r="D494" s="12"/>
      <c r="H494" s="15"/>
      <c r="I494" s="25"/>
    </row>
    <row r="495" spans="4:9">
      <c r="D495" s="12"/>
      <c r="H495" s="15"/>
      <c r="I495" s="25"/>
    </row>
    <row r="496" spans="4:9">
      <c r="D496" s="12"/>
      <c r="H496" s="15"/>
      <c r="I496" s="25"/>
    </row>
    <row r="497" spans="4:9">
      <c r="D497" s="12"/>
      <c r="H497" s="15"/>
      <c r="I497" s="25"/>
    </row>
    <row r="498" spans="4:9">
      <c r="D498" s="12"/>
      <c r="H498" s="15"/>
      <c r="I498" s="25"/>
    </row>
    <row r="499" spans="4:9">
      <c r="D499" s="12"/>
      <c r="H499" s="15"/>
      <c r="I499" s="25"/>
    </row>
    <row r="500" spans="4:9">
      <c r="D500" s="12"/>
      <c r="H500" s="15"/>
      <c r="I500" s="25"/>
    </row>
    <row r="501" spans="4:9">
      <c r="D501" s="12"/>
      <c r="H501" s="15"/>
      <c r="I501" s="25"/>
    </row>
    <row r="502" spans="4:9">
      <c r="D502" s="12"/>
      <c r="H502" s="15"/>
      <c r="I502" s="25"/>
    </row>
    <row r="503" spans="4:9">
      <c r="D503" s="12"/>
      <c r="H503" s="15"/>
      <c r="I503" s="25"/>
    </row>
    <row r="504" spans="4:9">
      <c r="D504" s="12"/>
      <c r="H504" s="15"/>
      <c r="I504" s="25"/>
    </row>
    <row r="505" spans="4:9">
      <c r="D505" s="12"/>
      <c r="H505" s="15"/>
      <c r="I505" s="25"/>
    </row>
    <row r="506" spans="4:9">
      <c r="D506" s="12"/>
      <c r="H506" s="15"/>
      <c r="I506" s="25"/>
    </row>
    <row r="507" spans="4:9">
      <c r="D507" s="12"/>
      <c r="H507" s="15"/>
      <c r="I507" s="25"/>
    </row>
    <row r="508" spans="4:9">
      <c r="D508" s="12"/>
      <c r="H508" s="15"/>
      <c r="I508" s="25"/>
    </row>
    <row r="509" spans="4:9">
      <c r="D509" s="12"/>
      <c r="H509" s="15"/>
      <c r="I509" s="25"/>
    </row>
    <row r="510" spans="4:9">
      <c r="D510" s="12"/>
      <c r="H510" s="15"/>
      <c r="I510" s="25"/>
    </row>
    <row r="511" spans="4:9">
      <c r="D511" s="12"/>
      <c r="H511" s="15"/>
      <c r="I511" s="25"/>
    </row>
    <row r="512" spans="4:9">
      <c r="D512" s="12"/>
      <c r="H512" s="15"/>
      <c r="I512" s="25"/>
    </row>
    <row r="513" spans="4:9">
      <c r="D513" s="12"/>
      <c r="H513" s="15"/>
      <c r="I513" s="25"/>
    </row>
    <row r="514" spans="4:9">
      <c r="D514" s="12"/>
      <c r="H514" s="15"/>
      <c r="I514" s="25"/>
    </row>
    <row r="515" spans="4:9">
      <c r="D515" s="12"/>
      <c r="H515" s="15"/>
      <c r="I515" s="25"/>
    </row>
    <row r="516" spans="4:9">
      <c r="D516" s="12"/>
      <c r="H516" s="15"/>
      <c r="I516" s="25"/>
    </row>
    <row r="517" spans="4:9">
      <c r="D517" s="12"/>
      <c r="H517" s="15"/>
      <c r="I517" s="25"/>
    </row>
    <row r="518" spans="4:9">
      <c r="D518" s="12"/>
      <c r="H518" s="15"/>
      <c r="I518" s="25"/>
    </row>
    <row r="519" spans="4:9">
      <c r="D519" s="12"/>
      <c r="H519" s="15"/>
      <c r="I519" s="25"/>
    </row>
    <row r="520" spans="4:9">
      <c r="D520" s="12"/>
      <c r="H520" s="15"/>
      <c r="I520" s="25"/>
    </row>
    <row r="521" spans="4:9">
      <c r="D521" s="12"/>
      <c r="H521" s="15"/>
      <c r="I521" s="25"/>
    </row>
    <row r="522" spans="4:9">
      <c r="D522" s="12"/>
      <c r="H522" s="15"/>
      <c r="I522" s="25"/>
    </row>
    <row r="523" spans="4:9">
      <c r="D523" s="12"/>
      <c r="H523" s="15"/>
      <c r="I523" s="25"/>
    </row>
    <row r="524" spans="4:9">
      <c r="D524" s="12"/>
      <c r="H524" s="15"/>
      <c r="I524" s="25"/>
    </row>
    <row r="525" spans="4:9">
      <c r="D525" s="12"/>
      <c r="H525" s="15"/>
      <c r="I525" s="25"/>
    </row>
    <row r="526" spans="4:9">
      <c r="D526" s="12"/>
      <c r="H526" s="15"/>
      <c r="I526" s="25"/>
    </row>
    <row r="527" spans="4:9">
      <c r="D527" s="12"/>
      <c r="H527" s="15"/>
      <c r="I527" s="25"/>
    </row>
    <row r="528" spans="4:9">
      <c r="D528" s="12"/>
      <c r="H528" s="15"/>
      <c r="I528" s="25"/>
    </row>
    <row r="529" spans="4:9">
      <c r="D529" s="12"/>
      <c r="H529" s="15"/>
      <c r="I529" s="25"/>
    </row>
    <row r="530" spans="4:9">
      <c r="D530" s="12"/>
      <c r="H530" s="15"/>
      <c r="I530" s="25"/>
    </row>
    <row r="531" spans="4:9">
      <c r="D531" s="12"/>
      <c r="H531" s="15"/>
      <c r="I531" s="25"/>
    </row>
    <row r="532" spans="4:9">
      <c r="D532" s="12"/>
      <c r="H532" s="15"/>
      <c r="I532" s="25"/>
    </row>
    <row r="533" spans="4:9">
      <c r="D533" s="12"/>
      <c r="H533" s="15"/>
      <c r="I533" s="25"/>
    </row>
    <row r="534" spans="4:9">
      <c r="D534" s="12"/>
      <c r="H534" s="15"/>
      <c r="I534" s="25"/>
    </row>
    <row r="535" spans="4:9">
      <c r="D535" s="12"/>
      <c r="H535" s="15"/>
      <c r="I535" s="25"/>
    </row>
    <row r="536" spans="4:9">
      <c r="D536" s="12"/>
      <c r="H536" s="15"/>
      <c r="I536" s="25"/>
    </row>
    <row r="537" spans="4:9">
      <c r="D537" s="12"/>
      <c r="H537" s="15"/>
      <c r="I537" s="25"/>
    </row>
    <row r="538" spans="4:9">
      <c r="D538" s="12"/>
      <c r="H538" s="15"/>
      <c r="I538" s="25"/>
    </row>
    <row r="539" spans="4:9">
      <c r="D539" s="12"/>
      <c r="H539" s="15"/>
      <c r="I539" s="25"/>
    </row>
    <row r="540" spans="4:9">
      <c r="D540" s="12"/>
      <c r="H540" s="15"/>
      <c r="I540" s="25"/>
    </row>
    <row r="541" spans="4:9">
      <c r="D541" s="12"/>
      <c r="H541" s="15"/>
      <c r="I541" s="25"/>
    </row>
    <row r="542" spans="4:9">
      <c r="D542" s="12"/>
      <c r="H542" s="15"/>
      <c r="I542" s="25"/>
    </row>
    <row r="543" spans="4:9">
      <c r="D543" s="12"/>
      <c r="H543" s="15"/>
      <c r="I543" s="25"/>
    </row>
    <row r="544" spans="4:9">
      <c r="D544" s="12"/>
      <c r="H544" s="15"/>
      <c r="I544" s="25"/>
    </row>
    <row r="545" spans="4:9">
      <c r="D545" s="12"/>
      <c r="H545" s="15"/>
      <c r="I545" s="25"/>
    </row>
    <row r="546" spans="4:9">
      <c r="D546" s="12"/>
      <c r="H546" s="15"/>
      <c r="I546" s="25"/>
    </row>
    <row r="547" spans="4:9">
      <c r="D547" s="12"/>
      <c r="H547" s="15"/>
      <c r="I547" s="25"/>
    </row>
    <row r="548" spans="4:9">
      <c r="D548" s="12"/>
      <c r="H548" s="15"/>
      <c r="I548" s="25"/>
    </row>
    <row r="549" spans="4:9">
      <c r="D549" s="12"/>
      <c r="H549" s="15"/>
      <c r="I549" s="25"/>
    </row>
    <row r="550" spans="4:9">
      <c r="D550" s="12"/>
      <c r="H550" s="15"/>
      <c r="I550" s="25"/>
    </row>
    <row r="551" spans="4:9">
      <c r="D551" s="12"/>
      <c r="H551" s="15"/>
      <c r="I551" s="25"/>
    </row>
    <row r="552" spans="4:9">
      <c r="D552" s="12"/>
      <c r="H552" s="15"/>
      <c r="I552" s="25"/>
    </row>
    <row r="553" spans="4:9">
      <c r="D553" s="12"/>
      <c r="H553" s="15"/>
      <c r="I553" s="25"/>
    </row>
    <row r="554" spans="4:9">
      <c r="D554" s="12"/>
      <c r="H554" s="15"/>
      <c r="I554" s="25"/>
    </row>
    <row r="555" spans="4:9">
      <c r="D555" s="12"/>
      <c r="H555" s="15"/>
      <c r="I555" s="25"/>
    </row>
    <row r="556" spans="4:9">
      <c r="D556" s="12"/>
      <c r="H556" s="15"/>
      <c r="I556" s="25"/>
    </row>
    <row r="557" spans="4:9">
      <c r="D557" s="12"/>
      <c r="H557" s="15"/>
      <c r="I557" s="25"/>
    </row>
    <row r="558" spans="4:9">
      <c r="D558" s="12"/>
      <c r="H558" s="15"/>
      <c r="I558" s="25"/>
    </row>
    <row r="559" spans="4:9">
      <c r="D559" s="12"/>
      <c r="H559" s="15"/>
      <c r="I559" s="25"/>
    </row>
    <row r="560" spans="4:9">
      <c r="D560" s="12"/>
      <c r="H560" s="15"/>
      <c r="I560" s="25"/>
    </row>
    <row r="561" spans="4:9">
      <c r="D561" s="12"/>
      <c r="H561" s="15"/>
      <c r="I561" s="25"/>
    </row>
    <row r="562" spans="4:9">
      <c r="D562" s="12"/>
      <c r="H562" s="15"/>
      <c r="I562" s="25"/>
    </row>
    <row r="563" spans="4:9">
      <c r="D563" s="12"/>
      <c r="H563" s="15"/>
      <c r="I563" s="25"/>
    </row>
    <row r="564" spans="4:9">
      <c r="D564" s="12"/>
      <c r="H564" s="15"/>
      <c r="I564" s="25"/>
    </row>
    <row r="565" spans="4:9">
      <c r="D565" s="12"/>
      <c r="H565" s="15"/>
      <c r="I565" s="25"/>
    </row>
    <row r="566" spans="4:9">
      <c r="D566" s="12"/>
      <c r="H566" s="15"/>
      <c r="I566" s="25"/>
    </row>
    <row r="567" spans="4:9">
      <c r="D567" s="12"/>
      <c r="H567" s="15"/>
      <c r="I567" s="25"/>
    </row>
    <row r="568" spans="4:9">
      <c r="D568" s="12"/>
      <c r="H568" s="15"/>
      <c r="I568" s="25"/>
    </row>
    <row r="569" spans="4:9">
      <c r="D569" s="12"/>
      <c r="H569" s="15"/>
      <c r="I569" s="25"/>
    </row>
    <row r="570" spans="4:9">
      <c r="D570" s="12"/>
      <c r="H570" s="15"/>
      <c r="I570" s="25"/>
    </row>
    <row r="571" spans="4:9">
      <c r="D571" s="12"/>
      <c r="H571" s="15"/>
      <c r="I571" s="25"/>
    </row>
    <row r="572" spans="4:9">
      <c r="D572" s="12"/>
      <c r="H572" s="15"/>
      <c r="I572" s="25"/>
    </row>
    <row r="573" spans="4:9">
      <c r="D573" s="12"/>
      <c r="H573" s="15"/>
      <c r="I573" s="25"/>
    </row>
    <row r="574" spans="4:9">
      <c r="D574" s="12"/>
      <c r="H574" s="15"/>
      <c r="I574" s="25"/>
    </row>
    <row r="575" spans="4:9">
      <c r="D575" s="12"/>
      <c r="H575" s="15"/>
      <c r="I575" s="25"/>
    </row>
    <row r="576" spans="4:9">
      <c r="D576" s="12"/>
      <c r="H576" s="15"/>
      <c r="I576" s="25"/>
    </row>
    <row r="577" spans="4:9">
      <c r="D577" s="12"/>
      <c r="H577" s="15"/>
      <c r="I577" s="25"/>
    </row>
    <row r="578" spans="4:9">
      <c r="D578" s="12"/>
      <c r="H578" s="15"/>
      <c r="I578" s="25"/>
    </row>
    <row r="579" spans="4:9">
      <c r="D579" s="12"/>
      <c r="H579" s="15"/>
      <c r="I579" s="25"/>
    </row>
    <row r="580" spans="4:9">
      <c r="D580" s="12"/>
      <c r="H580" s="15"/>
      <c r="I580" s="25"/>
    </row>
    <row r="581" spans="4:9">
      <c r="D581" s="12"/>
      <c r="H581" s="15"/>
      <c r="I581" s="25"/>
    </row>
    <row r="582" spans="4:9">
      <c r="D582" s="12"/>
      <c r="H582" s="15"/>
      <c r="I582" s="25"/>
    </row>
    <row r="583" spans="4:9">
      <c r="D583" s="12"/>
      <c r="H583" s="15"/>
      <c r="I583" s="25"/>
    </row>
    <row r="584" spans="4:9">
      <c r="D584" s="12"/>
      <c r="H584" s="15"/>
      <c r="I584" s="25"/>
    </row>
    <row r="585" spans="4:9">
      <c r="D585" s="12"/>
      <c r="H585" s="15"/>
      <c r="I585" s="25"/>
    </row>
    <row r="586" spans="4:9">
      <c r="D586" s="12"/>
      <c r="H586" s="15"/>
      <c r="I586" s="25"/>
    </row>
    <row r="587" spans="4:9">
      <c r="D587" s="12"/>
      <c r="H587" s="15"/>
      <c r="I587" s="25"/>
    </row>
    <row r="588" spans="4:9">
      <c r="D588" s="12"/>
      <c r="H588" s="15"/>
      <c r="I588" s="25"/>
    </row>
    <row r="589" spans="4:9">
      <c r="D589" s="12"/>
      <c r="H589" s="15"/>
      <c r="I589" s="25"/>
    </row>
    <row r="590" spans="4:9">
      <c r="D590" s="12"/>
      <c r="H590" s="15"/>
      <c r="I590" s="25"/>
    </row>
    <row r="591" spans="4:9">
      <c r="D591" s="12"/>
      <c r="H591" s="15"/>
      <c r="I591" s="25"/>
    </row>
    <row r="592" spans="4:9">
      <c r="D592" s="12"/>
      <c r="H592" s="15"/>
      <c r="I592" s="25"/>
    </row>
    <row r="593" spans="4:9">
      <c r="D593" s="12"/>
      <c r="H593" s="15"/>
      <c r="I593" s="25"/>
    </row>
    <row r="594" spans="4:9">
      <c r="D594" s="12"/>
      <c r="H594" s="15"/>
      <c r="I594" s="25"/>
    </row>
    <row r="595" spans="4:9">
      <c r="D595" s="12"/>
      <c r="H595" s="15"/>
      <c r="I595" s="25"/>
    </row>
    <row r="596" spans="4:9">
      <c r="D596" s="12"/>
      <c r="H596" s="15"/>
      <c r="I596" s="25"/>
    </row>
    <row r="597" spans="4:9">
      <c r="D597" s="12"/>
      <c r="H597" s="15"/>
      <c r="I597" s="25"/>
    </row>
    <row r="598" spans="4:9">
      <c r="D598" s="12"/>
      <c r="H598" s="15"/>
      <c r="I598" s="25"/>
    </row>
    <row r="599" spans="4:9">
      <c r="D599" s="12"/>
      <c r="H599" s="15"/>
      <c r="I599" s="25"/>
    </row>
    <row r="600" spans="4:9">
      <c r="D600" s="12"/>
      <c r="H600" s="15"/>
      <c r="I600" s="25"/>
    </row>
    <row r="601" spans="4:9">
      <c r="D601" s="12"/>
      <c r="H601" s="15"/>
      <c r="I601" s="25"/>
    </row>
    <row r="602" spans="4:9">
      <c r="D602" s="12"/>
      <c r="H602" s="15"/>
      <c r="I602" s="25"/>
    </row>
    <row r="603" spans="4:9">
      <c r="D603" s="12"/>
      <c r="H603" s="15"/>
      <c r="I603" s="25"/>
    </row>
    <row r="604" spans="4:9">
      <c r="D604" s="12"/>
      <c r="H604" s="15"/>
      <c r="I604" s="25"/>
    </row>
    <row r="605" spans="4:9">
      <c r="D605" s="12"/>
      <c r="H605" s="15"/>
      <c r="I605" s="25"/>
    </row>
    <row r="606" spans="4:9">
      <c r="D606" s="12"/>
      <c r="H606" s="15"/>
      <c r="I606" s="25"/>
    </row>
    <row r="607" spans="4:9">
      <c r="D607" s="12"/>
      <c r="H607" s="15"/>
      <c r="I607" s="25"/>
    </row>
    <row r="608" spans="4:9">
      <c r="D608" s="12"/>
      <c r="H608" s="15"/>
      <c r="I608" s="25"/>
    </row>
    <row r="609" spans="4:9">
      <c r="D609" s="12"/>
      <c r="H609" s="15"/>
      <c r="I609" s="25"/>
    </row>
    <row r="610" spans="4:9">
      <c r="D610" s="12"/>
      <c r="H610" s="15"/>
      <c r="I610" s="25"/>
    </row>
    <row r="611" spans="4:9">
      <c r="D611" s="12"/>
      <c r="H611" s="15"/>
      <c r="I611" s="25"/>
    </row>
    <row r="612" spans="4:9">
      <c r="D612" s="12"/>
      <c r="H612" s="15"/>
      <c r="I612" s="25"/>
    </row>
    <row r="613" spans="4:9">
      <c r="D613" s="12"/>
      <c r="H613" s="15"/>
      <c r="I613" s="25"/>
    </row>
    <row r="614" spans="4:9">
      <c r="D614" s="12"/>
      <c r="H614" s="15"/>
      <c r="I614" s="25"/>
    </row>
    <row r="615" spans="4:9">
      <c r="D615" s="12"/>
      <c r="H615" s="15"/>
      <c r="I615" s="25"/>
    </row>
    <row r="616" spans="4:9">
      <c r="D616" s="12"/>
      <c r="H616" s="15"/>
      <c r="I616" s="25"/>
    </row>
    <row r="617" spans="4:9">
      <c r="D617" s="12"/>
      <c r="H617" s="15"/>
      <c r="I617" s="25"/>
    </row>
    <row r="618" spans="4:9">
      <c r="D618" s="12"/>
      <c r="H618" s="15"/>
      <c r="I618" s="25"/>
    </row>
    <row r="619" spans="4:9">
      <c r="D619" s="12"/>
      <c r="H619" s="15"/>
      <c r="I619" s="25"/>
    </row>
    <row r="620" spans="4:9">
      <c r="D620" s="12"/>
      <c r="H620" s="15"/>
      <c r="I620" s="25"/>
    </row>
    <row r="621" spans="4:9">
      <c r="D621" s="12"/>
      <c r="H621" s="15"/>
      <c r="I621" s="25"/>
    </row>
    <row r="622" spans="4:9">
      <c r="D622" s="12"/>
      <c r="H622" s="15"/>
      <c r="I622" s="25"/>
    </row>
    <row r="623" spans="4:9">
      <c r="D623" s="12"/>
      <c r="H623" s="15"/>
      <c r="I623" s="25"/>
    </row>
    <row r="624" spans="4:9">
      <c r="D624" s="12"/>
      <c r="H624" s="15"/>
      <c r="I624" s="25"/>
    </row>
    <row r="625" spans="4:9">
      <c r="D625" s="12"/>
      <c r="H625" s="15"/>
      <c r="I625" s="25"/>
    </row>
    <row r="626" spans="4:9">
      <c r="D626" s="12"/>
      <c r="H626" s="15"/>
      <c r="I626" s="25"/>
    </row>
    <row r="627" spans="4:9">
      <c r="D627" s="12"/>
      <c r="H627" s="15"/>
      <c r="I627" s="25"/>
    </row>
    <row r="628" spans="4:9">
      <c r="D628" s="12"/>
      <c r="H628" s="15"/>
      <c r="I628" s="25"/>
    </row>
    <row r="629" spans="4:9">
      <c r="D629" s="12"/>
      <c r="H629" s="15"/>
      <c r="I629" s="25"/>
    </row>
    <row r="630" spans="4:9">
      <c r="D630" s="12"/>
      <c r="H630" s="15"/>
      <c r="I630" s="25"/>
    </row>
    <row r="631" spans="4:9">
      <c r="D631" s="12"/>
      <c r="H631" s="15"/>
      <c r="I631" s="25"/>
    </row>
    <row r="632" spans="4:9">
      <c r="D632" s="12"/>
      <c r="H632" s="15"/>
      <c r="I632" s="25"/>
    </row>
    <row r="633" spans="4:9">
      <c r="D633" s="12"/>
      <c r="H633" s="15"/>
      <c r="I633" s="25"/>
    </row>
    <row r="634" spans="4:9">
      <c r="D634" s="12"/>
      <c r="H634" s="15"/>
      <c r="I634" s="25"/>
    </row>
    <row r="635" spans="4:9">
      <c r="D635" s="12"/>
      <c r="H635" s="15"/>
      <c r="I635" s="25"/>
    </row>
    <row r="636" spans="4:9">
      <c r="D636" s="12"/>
      <c r="H636" s="15"/>
      <c r="I636" s="25"/>
    </row>
    <row r="637" spans="4:9">
      <c r="D637" s="12"/>
      <c r="H637" s="15"/>
      <c r="I637" s="25"/>
    </row>
    <row r="638" spans="4:9">
      <c r="D638" s="12"/>
      <c r="H638" s="15"/>
      <c r="I638" s="25"/>
    </row>
    <row r="639" spans="4:9">
      <c r="D639" s="12"/>
      <c r="H639" s="15"/>
      <c r="I639" s="25"/>
    </row>
    <row r="640" spans="4:9">
      <c r="D640" s="12"/>
      <c r="H640" s="15"/>
      <c r="I640" s="25"/>
    </row>
    <row r="641" spans="4:9">
      <c r="D641" s="12"/>
      <c r="H641" s="15"/>
      <c r="I641" s="25"/>
    </row>
    <row r="642" spans="4:9">
      <c r="D642" s="12"/>
      <c r="H642" s="15"/>
      <c r="I642" s="25"/>
    </row>
    <row r="643" spans="4:9">
      <c r="D643" s="12"/>
      <c r="H643" s="15"/>
      <c r="I643" s="25"/>
    </row>
    <row r="644" spans="4:9">
      <c r="D644" s="12"/>
      <c r="H644" s="15"/>
      <c r="I644" s="25"/>
    </row>
    <row r="645" spans="4:9">
      <c r="D645" s="12"/>
      <c r="H645" s="15"/>
      <c r="I645" s="25"/>
    </row>
    <row r="646" spans="4:9">
      <c r="D646" s="12"/>
      <c r="H646" s="15"/>
      <c r="I646" s="25"/>
    </row>
    <row r="647" spans="4:9">
      <c r="D647" s="12"/>
      <c r="H647" s="15"/>
      <c r="I647" s="25"/>
    </row>
    <row r="648" spans="4:9">
      <c r="D648" s="12"/>
      <c r="H648" s="15"/>
      <c r="I648" s="25"/>
    </row>
    <row r="649" spans="4:9">
      <c r="D649" s="12"/>
      <c r="H649" s="15"/>
      <c r="I649" s="25"/>
    </row>
    <row r="650" spans="4:9">
      <c r="D650" s="12"/>
      <c r="H650" s="15"/>
      <c r="I650" s="25"/>
    </row>
    <row r="651" spans="4:9">
      <c r="D651" s="12"/>
      <c r="H651" s="15"/>
      <c r="I651" s="25"/>
    </row>
    <row r="652" spans="4:9">
      <c r="D652" s="12"/>
      <c r="H652" s="15"/>
      <c r="I652" s="25"/>
    </row>
    <row r="653" spans="4:9">
      <c r="D653" s="12"/>
      <c r="H653" s="15"/>
      <c r="I653" s="25"/>
    </row>
    <row r="654" spans="4:9">
      <c r="D654" s="12"/>
      <c r="H654" s="15"/>
      <c r="I654" s="25"/>
    </row>
    <row r="655" spans="4:9">
      <c r="D655" s="12"/>
      <c r="H655" s="15"/>
      <c r="I655" s="25"/>
    </row>
    <row r="656" spans="4:9">
      <c r="D656" s="12"/>
      <c r="H656" s="15"/>
      <c r="I656" s="25"/>
    </row>
    <row r="657" spans="4:9">
      <c r="D657" s="12"/>
      <c r="H657" s="15"/>
      <c r="I657" s="25"/>
    </row>
    <row r="658" spans="4:9">
      <c r="D658" s="12"/>
      <c r="H658" s="15"/>
      <c r="I658" s="25"/>
    </row>
    <row r="659" spans="4:9">
      <c r="D659" s="12"/>
      <c r="H659" s="15"/>
      <c r="I659" s="25"/>
    </row>
    <row r="660" spans="4:9">
      <c r="D660" s="12"/>
      <c r="H660" s="15"/>
      <c r="I660" s="25"/>
    </row>
    <row r="661" spans="4:9">
      <c r="D661" s="12"/>
      <c r="H661" s="15"/>
      <c r="I661" s="25"/>
    </row>
    <row r="662" spans="4:9">
      <c r="D662" s="12"/>
      <c r="H662" s="15"/>
      <c r="I662" s="25"/>
    </row>
    <row r="663" spans="4:9">
      <c r="D663" s="12"/>
      <c r="H663" s="15"/>
      <c r="I663" s="25"/>
    </row>
    <row r="664" spans="4:9">
      <c r="D664" s="12"/>
      <c r="H664" s="15"/>
      <c r="I664" s="25"/>
    </row>
    <row r="665" spans="4:9">
      <c r="D665" s="12"/>
      <c r="H665" s="15"/>
      <c r="I665" s="25"/>
    </row>
    <row r="666" spans="4:9">
      <c r="D666" s="12"/>
      <c r="H666" s="15"/>
      <c r="I666" s="25"/>
    </row>
    <row r="667" spans="4:9">
      <c r="D667" s="12"/>
      <c r="H667" s="15"/>
      <c r="I667" s="25"/>
    </row>
    <row r="668" spans="4:9">
      <c r="D668" s="12"/>
      <c r="H668" s="15"/>
      <c r="I668" s="25"/>
    </row>
    <row r="669" spans="4:9">
      <c r="D669" s="12"/>
      <c r="H669" s="15"/>
      <c r="I669" s="25"/>
    </row>
    <row r="670" spans="4:9">
      <c r="D670" s="12"/>
      <c r="H670" s="15"/>
      <c r="I670" s="25"/>
    </row>
    <row r="671" spans="4:9">
      <c r="D671" s="12"/>
      <c r="H671" s="15"/>
      <c r="I671" s="25"/>
    </row>
    <row r="672" spans="4:9">
      <c r="D672" s="12"/>
      <c r="H672" s="15"/>
      <c r="I672" s="25"/>
    </row>
    <row r="673" spans="4:9">
      <c r="D673" s="12"/>
      <c r="H673" s="15"/>
      <c r="I673" s="25"/>
    </row>
    <row r="674" spans="4:9">
      <c r="D674" s="12"/>
      <c r="H674" s="15"/>
      <c r="I674" s="25"/>
    </row>
    <row r="675" spans="4:9">
      <c r="D675" s="12"/>
      <c r="H675" s="15"/>
      <c r="I675" s="25"/>
    </row>
    <row r="676" spans="4:9">
      <c r="D676" s="12"/>
      <c r="H676" s="15"/>
      <c r="I676" s="25"/>
    </row>
    <row r="677" spans="4:9">
      <c r="D677" s="12"/>
      <c r="H677" s="15"/>
      <c r="I677" s="25"/>
    </row>
    <row r="678" spans="4:9">
      <c r="D678" s="12"/>
      <c r="H678" s="15"/>
      <c r="I678" s="25"/>
    </row>
    <row r="679" spans="4:9">
      <c r="D679" s="12"/>
      <c r="H679" s="15"/>
      <c r="I679" s="25"/>
    </row>
    <row r="680" spans="4:9">
      <c r="D680" s="12"/>
      <c r="H680" s="15"/>
      <c r="I680" s="25"/>
    </row>
    <row r="681" spans="4:9">
      <c r="D681" s="12"/>
      <c r="H681" s="15"/>
      <c r="I681" s="25"/>
    </row>
    <row r="682" spans="4:9">
      <c r="D682" s="12"/>
      <c r="H682" s="15"/>
      <c r="I682" s="25"/>
    </row>
    <row r="683" spans="4:9">
      <c r="D683" s="12"/>
      <c r="H683" s="15"/>
      <c r="I683" s="25"/>
    </row>
    <row r="684" spans="4:9">
      <c r="D684" s="12"/>
      <c r="H684" s="15"/>
      <c r="I684" s="25"/>
    </row>
    <row r="685" spans="4:9">
      <c r="D685" s="12"/>
      <c r="H685" s="15"/>
      <c r="I685" s="25"/>
    </row>
    <row r="686" spans="4:9">
      <c r="D686" s="12"/>
      <c r="H686" s="15"/>
      <c r="I686" s="25"/>
    </row>
    <row r="687" spans="4:9">
      <c r="D687" s="12"/>
      <c r="H687" s="15"/>
      <c r="I687" s="25"/>
    </row>
    <row r="688" spans="4:9">
      <c r="D688" s="12"/>
      <c r="H688" s="15"/>
      <c r="I688" s="25"/>
    </row>
    <row r="689" spans="4:9">
      <c r="D689" s="12"/>
      <c r="H689" s="15"/>
      <c r="I689" s="25"/>
    </row>
    <row r="690" spans="4:9">
      <c r="D690" s="12"/>
      <c r="H690" s="15"/>
      <c r="I690" s="25"/>
    </row>
    <row r="691" spans="4:9">
      <c r="D691" s="12"/>
      <c r="H691" s="15"/>
      <c r="I691" s="25"/>
    </row>
    <row r="692" spans="4:9">
      <c r="D692" s="12"/>
      <c r="H692" s="15"/>
      <c r="I692" s="25"/>
    </row>
    <row r="693" spans="4:9">
      <c r="D693" s="12"/>
      <c r="H693" s="15"/>
      <c r="I693" s="25"/>
    </row>
    <row r="694" spans="4:9">
      <c r="D694" s="12"/>
      <c r="H694" s="15"/>
      <c r="I694" s="25"/>
    </row>
    <row r="695" spans="4:9">
      <c r="D695" s="12"/>
      <c r="H695" s="15"/>
      <c r="I695" s="25"/>
    </row>
    <row r="696" spans="4:9">
      <c r="D696" s="12"/>
      <c r="H696" s="15"/>
      <c r="I696" s="25"/>
    </row>
    <row r="697" spans="4:9">
      <c r="D697" s="12"/>
      <c r="H697" s="15"/>
      <c r="I697" s="25"/>
    </row>
    <row r="698" spans="4:9">
      <c r="D698" s="12"/>
      <c r="H698" s="15"/>
      <c r="I698" s="25"/>
    </row>
    <row r="699" spans="4:9">
      <c r="D699" s="12"/>
      <c r="H699" s="15"/>
      <c r="I699" s="25"/>
    </row>
    <row r="700" spans="4:9">
      <c r="D700" s="12"/>
      <c r="H700" s="15"/>
      <c r="I700" s="25"/>
    </row>
    <row r="701" spans="4:9">
      <c r="D701" s="12"/>
      <c r="H701" s="15"/>
      <c r="I701" s="25"/>
    </row>
    <row r="702" spans="4:9">
      <c r="D702" s="12"/>
      <c r="H702" s="15"/>
      <c r="I702" s="25"/>
    </row>
    <row r="703" spans="4:9">
      <c r="D703" s="12"/>
      <c r="H703" s="15"/>
      <c r="I703" s="25"/>
    </row>
    <row r="704" spans="4:9">
      <c r="D704" s="12"/>
      <c r="H704" s="15"/>
      <c r="I704" s="25"/>
    </row>
    <row r="705" spans="4:9">
      <c r="D705" s="12"/>
      <c r="H705" s="15"/>
      <c r="I705" s="25"/>
    </row>
    <row r="706" spans="4:9">
      <c r="D706" s="12"/>
      <c r="H706" s="15"/>
      <c r="I706" s="25"/>
    </row>
    <row r="707" spans="4:9">
      <c r="D707" s="12"/>
      <c r="H707" s="15"/>
      <c r="I707" s="25"/>
    </row>
    <row r="708" spans="4:9">
      <c r="D708" s="12"/>
      <c r="H708" s="15"/>
      <c r="I708" s="25"/>
    </row>
    <row r="709" spans="4:9">
      <c r="D709" s="12"/>
      <c r="H709" s="15"/>
      <c r="I709" s="25"/>
    </row>
    <row r="710" spans="4:9">
      <c r="D710" s="12"/>
      <c r="H710" s="15"/>
      <c r="I710" s="25"/>
    </row>
    <row r="711" spans="4:9">
      <c r="D711" s="12"/>
      <c r="H711" s="15"/>
      <c r="I711" s="25"/>
    </row>
    <row r="712" spans="4:9">
      <c r="D712" s="12"/>
      <c r="H712" s="15"/>
      <c r="I712" s="25"/>
    </row>
    <row r="713" spans="4:9">
      <c r="D713" s="12"/>
      <c r="H713" s="15"/>
      <c r="I713" s="25"/>
    </row>
    <row r="714" spans="4:9">
      <c r="D714" s="12"/>
      <c r="H714" s="15"/>
      <c r="I714" s="25"/>
    </row>
    <row r="715" spans="4:9">
      <c r="D715" s="12"/>
      <c r="H715" s="15"/>
      <c r="I715" s="25"/>
    </row>
    <row r="716" spans="4:9">
      <c r="D716" s="12"/>
      <c r="H716" s="15"/>
      <c r="I716" s="25"/>
    </row>
    <row r="717" spans="4:9">
      <c r="D717" s="12"/>
      <c r="H717" s="15"/>
      <c r="I717" s="25"/>
    </row>
    <row r="718" spans="4:9">
      <c r="D718" s="12"/>
      <c r="H718" s="15"/>
      <c r="I718" s="25"/>
    </row>
    <row r="719" spans="4:9">
      <c r="D719" s="12"/>
      <c r="H719" s="15"/>
      <c r="I719" s="25"/>
    </row>
    <row r="720" spans="4:9">
      <c r="D720" s="12"/>
      <c r="H720" s="15"/>
      <c r="I720" s="25"/>
    </row>
    <row r="721" spans="4:9">
      <c r="D721" s="12"/>
      <c r="H721" s="15"/>
      <c r="I721" s="25"/>
    </row>
    <row r="722" spans="4:9">
      <c r="D722" s="12"/>
      <c r="H722" s="15"/>
      <c r="I722" s="25"/>
    </row>
    <row r="723" spans="4:9">
      <c r="D723" s="12"/>
      <c r="H723" s="15"/>
      <c r="I723" s="25"/>
    </row>
    <row r="724" spans="4:9">
      <c r="D724" s="12"/>
      <c r="H724" s="15"/>
      <c r="I724" s="25"/>
    </row>
    <row r="725" spans="4:9">
      <c r="D725" s="12"/>
      <c r="H725" s="15"/>
      <c r="I725" s="25"/>
    </row>
    <row r="726" spans="4:9">
      <c r="D726" s="12"/>
      <c r="H726" s="15"/>
      <c r="I726" s="25"/>
    </row>
    <row r="727" spans="4:9">
      <c r="D727" s="12"/>
      <c r="H727" s="15"/>
      <c r="I727" s="25"/>
    </row>
    <row r="728" spans="4:9">
      <c r="D728" s="12"/>
      <c r="H728" s="15"/>
      <c r="I728" s="25"/>
    </row>
    <row r="729" spans="4:9">
      <c r="D729" s="12"/>
      <c r="H729" s="15"/>
      <c r="I729" s="25"/>
    </row>
    <row r="730" spans="4:9">
      <c r="D730" s="12"/>
      <c r="H730" s="15"/>
      <c r="I730" s="25"/>
    </row>
    <row r="731" spans="4:9">
      <c r="D731" s="12"/>
      <c r="H731" s="15"/>
      <c r="I731" s="25"/>
    </row>
    <row r="732" spans="4:9">
      <c r="D732" s="12"/>
      <c r="H732" s="15"/>
      <c r="I732" s="25"/>
    </row>
    <row r="733" spans="4:9">
      <c r="D733" s="12"/>
      <c r="H733" s="15"/>
      <c r="I733" s="25"/>
    </row>
    <row r="734" spans="4:9">
      <c r="D734" s="12"/>
      <c r="H734" s="15"/>
      <c r="I734" s="25"/>
    </row>
    <row r="735" spans="4:9">
      <c r="D735" s="12"/>
      <c r="H735" s="15"/>
      <c r="I735" s="25"/>
    </row>
    <row r="736" spans="4:9">
      <c r="D736" s="12"/>
      <c r="H736" s="15"/>
      <c r="I736" s="25"/>
    </row>
    <row r="737" spans="4:9">
      <c r="D737" s="12"/>
      <c r="H737" s="15"/>
      <c r="I737" s="25"/>
    </row>
    <row r="738" spans="4:9">
      <c r="D738" s="12"/>
      <c r="H738" s="15"/>
      <c r="I738" s="25"/>
    </row>
    <row r="739" spans="4:9">
      <c r="D739" s="12"/>
      <c r="H739" s="15"/>
      <c r="I739" s="25"/>
    </row>
    <row r="740" spans="4:9">
      <c r="D740" s="12"/>
      <c r="H740" s="15"/>
      <c r="I740" s="25"/>
    </row>
    <row r="741" spans="4:9">
      <c r="D741" s="12"/>
      <c r="H741" s="15"/>
      <c r="I741" s="25"/>
    </row>
    <row r="742" spans="4:9">
      <c r="D742" s="12"/>
      <c r="H742" s="15"/>
      <c r="I742" s="25"/>
    </row>
    <row r="743" spans="4:9">
      <c r="D743" s="12"/>
      <c r="H743" s="15"/>
      <c r="I743" s="25"/>
    </row>
    <row r="744" spans="4:9">
      <c r="D744" s="12"/>
      <c r="H744" s="15"/>
      <c r="I744" s="25"/>
    </row>
    <row r="745" spans="4:9">
      <c r="D745" s="12"/>
      <c r="H745" s="15"/>
      <c r="I745" s="25"/>
    </row>
    <row r="746" spans="4:9">
      <c r="D746" s="12"/>
      <c r="H746" s="15"/>
      <c r="I746" s="25"/>
    </row>
    <row r="747" spans="4:9">
      <c r="D747" s="12"/>
      <c r="H747" s="15"/>
      <c r="I747" s="25"/>
    </row>
    <row r="748" spans="4:9">
      <c r="D748" s="12"/>
      <c r="H748" s="15"/>
      <c r="I748" s="25"/>
    </row>
    <row r="749" spans="4:9">
      <c r="D749" s="12"/>
      <c r="H749" s="15"/>
      <c r="I749" s="25"/>
    </row>
    <row r="750" spans="4:9">
      <c r="D750" s="12"/>
      <c r="H750" s="15"/>
      <c r="I750" s="25"/>
    </row>
    <row r="751" spans="4:9">
      <c r="D751" s="12"/>
      <c r="H751" s="15"/>
      <c r="I751" s="25"/>
    </row>
    <row r="752" spans="4:9">
      <c r="D752" s="12"/>
      <c r="H752" s="15"/>
      <c r="I752" s="25"/>
    </row>
    <row r="753" spans="4:9">
      <c r="D753" s="12"/>
      <c r="H753" s="15"/>
      <c r="I753" s="25"/>
    </row>
    <row r="754" spans="4:9">
      <c r="D754" s="12"/>
      <c r="H754" s="15"/>
      <c r="I754" s="25"/>
    </row>
    <row r="755" spans="4:9">
      <c r="D755" s="12"/>
      <c r="H755" s="15"/>
      <c r="I755" s="25"/>
    </row>
    <row r="756" spans="4:9">
      <c r="D756" s="12"/>
      <c r="H756" s="15"/>
      <c r="I756" s="25"/>
    </row>
    <row r="757" spans="4:9">
      <c r="D757" s="12"/>
      <c r="H757" s="15"/>
      <c r="I757" s="25"/>
    </row>
    <row r="758" spans="4:9">
      <c r="D758" s="12"/>
      <c r="H758" s="15"/>
      <c r="I758" s="25"/>
    </row>
    <row r="759" spans="4:9">
      <c r="D759" s="12"/>
      <c r="H759" s="15"/>
      <c r="I759" s="25"/>
    </row>
    <row r="760" spans="4:9">
      <c r="D760" s="12"/>
      <c r="H760" s="15"/>
      <c r="I760" s="25"/>
    </row>
    <row r="761" spans="4:9">
      <c r="D761" s="12"/>
      <c r="H761" s="15"/>
      <c r="I761" s="25"/>
    </row>
    <row r="762" spans="4:9">
      <c r="D762" s="12"/>
      <c r="H762" s="15"/>
      <c r="I762" s="25"/>
    </row>
    <row r="763" spans="4:9">
      <c r="D763" s="12"/>
      <c r="H763" s="15"/>
      <c r="I763" s="25"/>
    </row>
    <row r="764" spans="4:9">
      <c r="D764" s="12"/>
      <c r="H764" s="15"/>
      <c r="I764" s="25"/>
    </row>
    <row r="765" spans="4:9">
      <c r="D765" s="12"/>
      <c r="H765" s="15"/>
      <c r="I765" s="25"/>
    </row>
    <row r="766" spans="4:9">
      <c r="D766" s="12"/>
      <c r="H766" s="15"/>
      <c r="I766" s="25"/>
    </row>
    <row r="767" spans="4:9">
      <c r="D767" s="12"/>
      <c r="H767" s="15"/>
      <c r="I767" s="25"/>
    </row>
    <row r="768" spans="4:9">
      <c r="D768" s="12"/>
      <c r="H768" s="15"/>
      <c r="I768" s="25"/>
    </row>
    <row r="769" spans="4:9">
      <c r="D769" s="12"/>
      <c r="H769" s="15"/>
      <c r="I769" s="25"/>
    </row>
    <row r="770" spans="4:9">
      <c r="D770" s="12"/>
      <c r="H770" s="15"/>
      <c r="I770" s="25"/>
    </row>
    <row r="771" spans="4:9">
      <c r="D771" s="12"/>
      <c r="H771" s="15"/>
      <c r="I771" s="25"/>
    </row>
    <row r="772" spans="4:9">
      <c r="D772" s="12"/>
      <c r="H772" s="15"/>
      <c r="I772" s="25"/>
    </row>
    <row r="773" spans="4:9">
      <c r="D773" s="12"/>
      <c r="H773" s="15"/>
      <c r="I773" s="25"/>
    </row>
    <row r="774" spans="4:9">
      <c r="D774" s="12"/>
      <c r="H774" s="15"/>
      <c r="I774" s="25"/>
    </row>
    <row r="775" spans="4:9">
      <c r="D775" s="12"/>
      <c r="H775" s="15"/>
      <c r="I775" s="25"/>
    </row>
    <row r="776" spans="4:9">
      <c r="D776" s="12"/>
      <c r="H776" s="15"/>
      <c r="I776" s="25"/>
    </row>
    <row r="777" spans="4:9">
      <c r="D777" s="12"/>
      <c r="H777" s="15"/>
      <c r="I777" s="25"/>
    </row>
    <row r="778" spans="4:9">
      <c r="D778" s="12"/>
      <c r="H778" s="15"/>
      <c r="I778" s="25"/>
    </row>
    <row r="779" spans="4:9">
      <c r="D779" s="12"/>
      <c r="H779" s="15"/>
      <c r="I779" s="25"/>
    </row>
    <row r="780" spans="4:9">
      <c r="D780" s="12"/>
      <c r="H780" s="15"/>
      <c r="I780" s="25"/>
    </row>
    <row r="781" spans="4:9">
      <c r="D781" s="12"/>
      <c r="H781" s="15"/>
      <c r="I781" s="25"/>
    </row>
    <row r="782" spans="4:9">
      <c r="D782" s="12"/>
      <c r="H782" s="15"/>
      <c r="I782" s="25"/>
    </row>
    <row r="783" spans="4:9">
      <c r="D783" s="12"/>
      <c r="H783" s="15"/>
      <c r="I783" s="25"/>
    </row>
    <row r="784" spans="4:9">
      <c r="D784" s="12"/>
      <c r="H784" s="15"/>
      <c r="I784" s="25"/>
    </row>
    <row r="785" spans="4:9">
      <c r="D785" s="12"/>
      <c r="H785" s="15"/>
      <c r="I785" s="25"/>
    </row>
    <row r="786" spans="4:9">
      <c r="D786" s="12"/>
      <c r="H786" s="15"/>
      <c r="I786" s="25"/>
    </row>
    <row r="787" spans="4:9">
      <c r="D787" s="12"/>
      <c r="H787" s="15"/>
      <c r="I787" s="25"/>
    </row>
    <row r="788" spans="4:9">
      <c r="D788" s="12"/>
      <c r="H788" s="15"/>
      <c r="I788" s="25"/>
    </row>
    <row r="789" spans="4:9">
      <c r="D789" s="12"/>
      <c r="H789" s="15"/>
      <c r="I789" s="25"/>
    </row>
    <row r="790" spans="4:9">
      <c r="D790" s="12"/>
      <c r="H790" s="15"/>
      <c r="I790" s="25"/>
    </row>
    <row r="791" spans="4:9">
      <c r="D791" s="12"/>
      <c r="H791" s="15"/>
      <c r="I791" s="25"/>
    </row>
    <row r="792" spans="4:9">
      <c r="D792" s="12"/>
      <c r="H792" s="15"/>
      <c r="I792" s="25"/>
    </row>
    <row r="793" spans="4:9">
      <c r="D793" s="12"/>
      <c r="H793" s="15"/>
      <c r="I793" s="25"/>
    </row>
    <row r="794" spans="4:9">
      <c r="D794" s="12"/>
      <c r="H794" s="15"/>
      <c r="I794" s="25"/>
    </row>
    <row r="795" spans="4:9">
      <c r="D795" s="12"/>
      <c r="H795" s="15"/>
      <c r="I795" s="25"/>
    </row>
    <row r="796" spans="4:9">
      <c r="D796" s="12"/>
      <c r="H796" s="15"/>
      <c r="I796" s="25"/>
    </row>
    <row r="797" spans="4:9">
      <c r="D797" s="12"/>
      <c r="H797" s="15"/>
      <c r="I797" s="25"/>
    </row>
    <row r="798" spans="4:9">
      <c r="D798" s="12"/>
      <c r="H798" s="15"/>
      <c r="I798" s="25"/>
    </row>
    <row r="799" spans="4:9">
      <c r="D799" s="12"/>
      <c r="H799" s="15"/>
      <c r="I799" s="25"/>
    </row>
    <row r="800" spans="4:9">
      <c r="D800" s="12"/>
      <c r="H800" s="15"/>
      <c r="I800" s="25"/>
    </row>
    <row r="801" spans="4:9">
      <c r="D801" s="12"/>
      <c r="H801" s="15"/>
      <c r="I801" s="25"/>
    </row>
    <row r="802" spans="4:9">
      <c r="D802" s="12"/>
      <c r="H802" s="15"/>
      <c r="I802" s="25"/>
    </row>
    <row r="803" spans="4:9">
      <c r="D803" s="12"/>
      <c r="H803" s="15"/>
      <c r="I803" s="25"/>
    </row>
    <row r="804" spans="4:9">
      <c r="D804" s="12"/>
      <c r="H804" s="15"/>
      <c r="I804" s="25"/>
    </row>
    <row r="805" spans="4:9">
      <c r="D805" s="12"/>
      <c r="H805" s="15"/>
      <c r="I805" s="25"/>
    </row>
    <row r="806" spans="4:9">
      <c r="D806" s="12"/>
      <c r="H806" s="15"/>
      <c r="I806" s="25"/>
    </row>
    <row r="807" spans="4:9">
      <c r="D807" s="12"/>
      <c r="H807" s="15"/>
      <c r="I807" s="25"/>
    </row>
    <row r="808" spans="4:9">
      <c r="D808" s="12"/>
      <c r="H808" s="15"/>
      <c r="I808" s="25"/>
    </row>
    <row r="809" spans="4:9">
      <c r="D809" s="12"/>
      <c r="H809" s="15"/>
      <c r="I809" s="25"/>
    </row>
    <row r="810" spans="4:9">
      <c r="D810" s="12"/>
      <c r="H810" s="15"/>
      <c r="I810" s="25"/>
    </row>
    <row r="811" spans="4:9">
      <c r="D811" s="12"/>
      <c r="H811" s="15"/>
      <c r="I811" s="25"/>
    </row>
    <row r="812" spans="4:9">
      <c r="D812" s="12"/>
      <c r="H812" s="15"/>
      <c r="I812" s="25"/>
    </row>
    <row r="813" spans="4:9">
      <c r="D813" s="12"/>
      <c r="H813" s="15"/>
      <c r="I813" s="25"/>
    </row>
    <row r="814" spans="4:9">
      <c r="D814" s="12"/>
      <c r="H814" s="15"/>
      <c r="I814" s="25"/>
    </row>
    <row r="815" spans="4:9">
      <c r="D815" s="12"/>
      <c r="H815" s="15"/>
      <c r="I815" s="25"/>
    </row>
    <row r="816" spans="4:9">
      <c r="D816" s="12"/>
      <c r="H816" s="15"/>
      <c r="I816" s="25"/>
    </row>
    <row r="817" spans="4:9">
      <c r="D817" s="12"/>
      <c r="H817" s="15"/>
      <c r="I817" s="25"/>
    </row>
    <row r="818" spans="4:9">
      <c r="D818" s="12"/>
      <c r="H818" s="15"/>
      <c r="I818" s="25"/>
    </row>
    <row r="819" spans="4:9">
      <c r="D819" s="12"/>
      <c r="H819" s="15"/>
      <c r="I819" s="25"/>
    </row>
    <row r="820" spans="4:9">
      <c r="D820" s="12"/>
      <c r="H820" s="15"/>
      <c r="I820" s="25"/>
    </row>
    <row r="821" spans="4:9">
      <c r="D821" s="12"/>
      <c r="H821" s="15"/>
      <c r="I821" s="25"/>
    </row>
    <row r="822" spans="4:9">
      <c r="D822" s="12"/>
      <c r="H822" s="15"/>
      <c r="I822" s="25"/>
    </row>
    <row r="823" spans="4:9">
      <c r="D823" s="12"/>
      <c r="H823" s="15"/>
      <c r="I823" s="25"/>
    </row>
    <row r="824" spans="4:9">
      <c r="D824" s="12"/>
      <c r="H824" s="15"/>
      <c r="I824" s="25"/>
    </row>
    <row r="825" spans="4:9">
      <c r="D825" s="12"/>
      <c r="H825" s="15"/>
      <c r="I825" s="25"/>
    </row>
    <row r="826" spans="4:9">
      <c r="D826" s="12"/>
      <c r="H826" s="15"/>
      <c r="I826" s="25"/>
    </row>
    <row r="827" spans="4:9">
      <c r="D827" s="12"/>
      <c r="H827" s="15"/>
      <c r="I827" s="25"/>
    </row>
    <row r="828" spans="4:9">
      <c r="D828" s="12"/>
      <c r="H828" s="15"/>
      <c r="I828" s="25"/>
    </row>
    <row r="829" spans="4:9">
      <c r="D829" s="12"/>
      <c r="H829" s="15"/>
      <c r="I829" s="25"/>
    </row>
    <row r="830" spans="4:9">
      <c r="D830" s="12"/>
      <c r="H830" s="15"/>
      <c r="I830" s="25"/>
    </row>
    <row r="831" spans="4:9">
      <c r="D831" s="12"/>
      <c r="H831" s="15"/>
      <c r="I831" s="25"/>
    </row>
    <row r="832" spans="4:9">
      <c r="D832" s="12"/>
      <c r="H832" s="15"/>
      <c r="I832" s="25"/>
    </row>
    <row r="833" spans="4:9">
      <c r="D833" s="12"/>
      <c r="H833" s="15"/>
      <c r="I833" s="25"/>
    </row>
    <row r="834" spans="4:9">
      <c r="D834" s="12"/>
      <c r="H834" s="15"/>
      <c r="I834" s="25"/>
    </row>
    <row r="835" spans="4:9">
      <c r="D835" s="12"/>
      <c r="H835" s="15"/>
      <c r="I835" s="25"/>
    </row>
    <row r="836" spans="4:9">
      <c r="D836" s="12"/>
      <c r="H836" s="15"/>
      <c r="I836" s="25"/>
    </row>
    <row r="837" spans="4:9">
      <c r="D837" s="12"/>
      <c r="H837" s="15"/>
      <c r="I837" s="25"/>
    </row>
    <row r="838" spans="4:9">
      <c r="D838" s="12"/>
      <c r="H838" s="15"/>
      <c r="I838" s="25"/>
    </row>
    <row r="839" spans="4:9">
      <c r="D839" s="12"/>
      <c r="H839" s="15"/>
      <c r="I839" s="25"/>
    </row>
    <row r="840" spans="4:9">
      <c r="D840" s="12"/>
      <c r="H840" s="15"/>
      <c r="I840" s="25"/>
    </row>
    <row r="841" spans="4:9">
      <c r="D841" s="12"/>
      <c r="H841" s="15"/>
      <c r="I841" s="25"/>
    </row>
    <row r="842" spans="4:9">
      <c r="D842" s="12"/>
      <c r="H842" s="15"/>
      <c r="I842" s="25"/>
    </row>
    <row r="843" spans="4:9">
      <c r="D843" s="12"/>
      <c r="H843" s="15"/>
      <c r="I843" s="25"/>
    </row>
    <row r="844" spans="4:9">
      <c r="D844" s="12"/>
      <c r="H844" s="15"/>
      <c r="I844" s="25"/>
    </row>
    <row r="845" spans="4:9">
      <c r="D845" s="12"/>
      <c r="H845" s="15"/>
      <c r="I845" s="25"/>
    </row>
    <row r="846" spans="4:9">
      <c r="D846" s="12"/>
      <c r="H846" s="15"/>
      <c r="I846" s="25"/>
    </row>
    <row r="847" spans="4:9">
      <c r="D847" s="12"/>
      <c r="H847" s="15"/>
      <c r="I847" s="25"/>
    </row>
    <row r="848" spans="4:9">
      <c r="D848" s="12"/>
      <c r="H848" s="15"/>
      <c r="I848" s="25"/>
    </row>
    <row r="849" spans="4:9">
      <c r="D849" s="12"/>
      <c r="H849" s="15"/>
      <c r="I849" s="25"/>
    </row>
    <row r="850" spans="4:9">
      <c r="D850" s="12"/>
      <c r="H850" s="15"/>
      <c r="I850" s="25"/>
    </row>
    <row r="851" spans="4:9">
      <c r="D851" s="12"/>
      <c r="H851" s="15"/>
      <c r="I851" s="25"/>
    </row>
    <row r="852" spans="4:9">
      <c r="D852" s="12"/>
      <c r="H852" s="15"/>
      <c r="I852" s="25"/>
    </row>
    <row r="853" spans="4:9">
      <c r="D853" s="12"/>
      <c r="H853" s="15"/>
      <c r="I853" s="25"/>
    </row>
    <row r="854" spans="4:9">
      <c r="D854" s="12"/>
      <c r="H854" s="15"/>
      <c r="I854" s="25"/>
    </row>
    <row r="855" spans="4:9">
      <c r="D855" s="12"/>
      <c r="H855" s="15"/>
      <c r="I855" s="25"/>
    </row>
    <row r="856" spans="4:9">
      <c r="D856" s="12"/>
      <c r="H856" s="15"/>
      <c r="I856" s="25"/>
    </row>
    <row r="857" spans="4:9">
      <c r="D857" s="12"/>
      <c r="H857" s="15"/>
      <c r="I857" s="25"/>
    </row>
    <row r="858" spans="4:9">
      <c r="D858" s="12"/>
      <c r="H858" s="15"/>
      <c r="I858" s="25"/>
    </row>
    <row r="859" spans="4:9">
      <c r="D859" s="12"/>
      <c r="H859" s="15"/>
      <c r="I859" s="25"/>
    </row>
    <row r="860" spans="4:9">
      <c r="D860" s="12"/>
      <c r="H860" s="15"/>
      <c r="I860" s="25"/>
    </row>
    <row r="861" spans="4:9">
      <c r="D861" s="12"/>
      <c r="H861" s="15"/>
      <c r="I861" s="25"/>
    </row>
    <row r="862" spans="4:9">
      <c r="D862" s="12"/>
      <c r="H862" s="15"/>
      <c r="I862" s="25"/>
    </row>
    <row r="863" spans="4:9">
      <c r="D863" s="12"/>
      <c r="H863" s="15"/>
      <c r="I863" s="25"/>
    </row>
    <row r="864" spans="4:9">
      <c r="D864" s="12"/>
      <c r="H864" s="15"/>
      <c r="I864" s="25"/>
    </row>
    <row r="865" spans="4:9">
      <c r="D865" s="12"/>
      <c r="H865" s="15"/>
      <c r="I865" s="25"/>
    </row>
    <row r="866" spans="4:9">
      <c r="D866" s="12"/>
      <c r="H866" s="15"/>
      <c r="I866" s="25"/>
    </row>
    <row r="867" spans="4:9">
      <c r="D867" s="12"/>
      <c r="H867" s="15"/>
      <c r="I867" s="25"/>
    </row>
    <row r="868" spans="4:9">
      <c r="D868" s="12"/>
      <c r="H868" s="15"/>
      <c r="I868" s="25"/>
    </row>
    <row r="869" spans="4:9">
      <c r="D869" s="12"/>
      <c r="H869" s="15"/>
      <c r="I869" s="25"/>
    </row>
    <row r="870" spans="4:9">
      <c r="D870" s="12"/>
      <c r="H870" s="15"/>
      <c r="I870" s="25"/>
    </row>
    <row r="871" spans="4:9">
      <c r="D871" s="12"/>
      <c r="H871" s="15"/>
      <c r="I871" s="25"/>
    </row>
    <row r="872" spans="4:9">
      <c r="D872" s="12"/>
      <c r="H872" s="15"/>
      <c r="I872" s="25"/>
    </row>
    <row r="873" spans="4:9">
      <c r="D873" s="12"/>
      <c r="H873" s="15"/>
      <c r="I873" s="25"/>
    </row>
    <row r="874" spans="4:9">
      <c r="D874" s="12"/>
      <c r="H874" s="15"/>
      <c r="I874" s="25"/>
    </row>
    <row r="875" spans="4:9">
      <c r="D875" s="12"/>
      <c r="H875" s="15"/>
      <c r="I875" s="25"/>
    </row>
    <row r="876" spans="4:9">
      <c r="D876" s="12"/>
      <c r="H876" s="15"/>
      <c r="I876" s="25"/>
    </row>
    <row r="877" spans="4:9">
      <c r="D877" s="12"/>
      <c r="H877" s="15"/>
      <c r="I877" s="25"/>
    </row>
    <row r="878" spans="4:9">
      <c r="D878" s="12"/>
      <c r="H878" s="15"/>
      <c r="I878" s="25"/>
    </row>
    <row r="879" spans="4:9">
      <c r="D879" s="12"/>
      <c r="H879" s="15"/>
      <c r="I879" s="25"/>
    </row>
    <row r="880" spans="4:9">
      <c r="D880" s="12"/>
      <c r="H880" s="15"/>
      <c r="I880" s="25"/>
    </row>
    <row r="881" spans="4:9">
      <c r="D881" s="12"/>
      <c r="H881" s="15"/>
      <c r="I881" s="25"/>
    </row>
    <row r="882" spans="4:9">
      <c r="D882" s="12"/>
      <c r="H882" s="15"/>
      <c r="I882" s="25"/>
    </row>
    <row r="883" spans="4:9">
      <c r="D883" s="12"/>
      <c r="H883" s="15"/>
      <c r="I883" s="25"/>
    </row>
    <row r="884" spans="4:9">
      <c r="D884" s="12"/>
      <c r="H884" s="15"/>
      <c r="I884" s="25"/>
    </row>
    <row r="885" spans="4:9">
      <c r="D885" s="12"/>
      <c r="H885" s="15"/>
      <c r="I885" s="25"/>
    </row>
    <row r="886" spans="4:9">
      <c r="D886" s="12"/>
      <c r="H886" s="15"/>
      <c r="I886" s="25"/>
    </row>
    <row r="887" spans="4:9">
      <c r="D887" s="12"/>
      <c r="H887" s="15"/>
      <c r="I887" s="25"/>
    </row>
    <row r="888" spans="4:9">
      <c r="D888" s="12"/>
      <c r="H888" s="15"/>
      <c r="I888" s="25"/>
    </row>
    <row r="889" spans="4:9">
      <c r="D889" s="12"/>
      <c r="H889" s="15"/>
      <c r="I889" s="25"/>
    </row>
    <row r="890" spans="4:9">
      <c r="D890" s="12"/>
      <c r="H890" s="15"/>
      <c r="I890" s="25"/>
    </row>
    <row r="891" spans="4:9">
      <c r="D891" s="12"/>
      <c r="H891" s="15"/>
      <c r="I891" s="25"/>
    </row>
    <row r="892" spans="4:9">
      <c r="D892" s="12"/>
      <c r="H892" s="15"/>
      <c r="I892" s="25"/>
    </row>
    <row r="893" spans="4:9">
      <c r="D893" s="12"/>
      <c r="H893" s="15"/>
      <c r="I893" s="25"/>
    </row>
    <row r="894" spans="4:9">
      <c r="D894" s="12"/>
      <c r="H894" s="15"/>
      <c r="I894" s="25"/>
    </row>
    <row r="895" spans="4:9">
      <c r="D895" s="12"/>
      <c r="H895" s="15"/>
      <c r="I895" s="25"/>
    </row>
    <row r="896" spans="4:9">
      <c r="D896" s="12"/>
      <c r="H896" s="15"/>
      <c r="I896" s="25"/>
    </row>
    <row r="897" spans="4:9">
      <c r="D897" s="12"/>
      <c r="H897" s="15"/>
      <c r="I897" s="25"/>
    </row>
    <row r="898" spans="4:9">
      <c r="D898" s="12"/>
      <c r="H898" s="15"/>
      <c r="I898" s="25"/>
    </row>
    <row r="899" spans="4:9">
      <c r="D899" s="12"/>
      <c r="H899" s="15"/>
      <c r="I899" s="25"/>
    </row>
    <row r="900" spans="4:9">
      <c r="D900" s="12"/>
      <c r="H900" s="15"/>
      <c r="I900" s="25"/>
    </row>
    <row r="901" spans="4:9">
      <c r="D901" s="12"/>
      <c r="H901" s="15"/>
      <c r="I901" s="25"/>
    </row>
    <row r="902" spans="4:9">
      <c r="D902" s="12"/>
      <c r="H902" s="15"/>
      <c r="I902" s="25"/>
    </row>
    <row r="903" spans="4:9">
      <c r="D903" s="12"/>
      <c r="H903" s="15"/>
      <c r="I903" s="25"/>
    </row>
    <row r="904" spans="4:9">
      <c r="D904" s="12"/>
      <c r="H904" s="15"/>
      <c r="I904" s="25"/>
    </row>
    <row r="905" spans="4:9">
      <c r="D905" s="12"/>
      <c r="H905" s="15"/>
      <c r="I905" s="25"/>
    </row>
    <row r="906" spans="4:9">
      <c r="D906" s="12"/>
      <c r="H906" s="15"/>
      <c r="I906" s="25"/>
    </row>
    <row r="907" spans="4:9">
      <c r="D907" s="12"/>
      <c r="H907" s="15"/>
      <c r="I907" s="25"/>
    </row>
    <row r="908" spans="4:9">
      <c r="D908" s="12"/>
      <c r="H908" s="15"/>
      <c r="I908" s="25"/>
    </row>
    <row r="909" spans="4:9">
      <c r="D909" s="12"/>
      <c r="H909" s="15"/>
      <c r="I909" s="25"/>
    </row>
    <row r="910" spans="4:9">
      <c r="D910" s="12"/>
      <c r="H910" s="15"/>
      <c r="I910" s="25"/>
    </row>
    <row r="911" spans="4:9">
      <c r="D911" s="12"/>
      <c r="H911" s="15"/>
      <c r="I911" s="25"/>
    </row>
    <row r="912" spans="4:9">
      <c r="D912" s="12"/>
      <c r="H912" s="15"/>
      <c r="I912" s="25"/>
    </row>
    <row r="913" spans="4:9">
      <c r="D913" s="12"/>
      <c r="H913" s="15"/>
      <c r="I913" s="25"/>
    </row>
    <row r="914" spans="4:9">
      <c r="D914" s="12"/>
      <c r="H914" s="15"/>
      <c r="I914" s="25"/>
    </row>
    <row r="915" spans="4:9">
      <c r="D915" s="12"/>
      <c r="H915" s="15"/>
      <c r="I915" s="25"/>
    </row>
    <row r="916" spans="4:9">
      <c r="D916" s="12"/>
      <c r="H916" s="15"/>
      <c r="I916" s="25"/>
    </row>
    <row r="917" spans="4:9">
      <c r="D917" s="12"/>
      <c r="H917" s="15"/>
      <c r="I917" s="25"/>
    </row>
    <row r="918" spans="4:9">
      <c r="D918" s="12"/>
      <c r="H918" s="15"/>
      <c r="I918" s="25"/>
    </row>
    <row r="919" spans="4:9">
      <c r="D919" s="12"/>
      <c r="H919" s="15"/>
      <c r="I919" s="25"/>
    </row>
    <row r="920" spans="4:9">
      <c r="D920" s="12"/>
      <c r="H920" s="15"/>
      <c r="I920" s="25"/>
    </row>
    <row r="921" spans="4:9">
      <c r="D921" s="12"/>
      <c r="H921" s="15"/>
      <c r="I921" s="25"/>
    </row>
    <row r="922" spans="4:9">
      <c r="D922" s="12"/>
      <c r="H922" s="15"/>
      <c r="I922" s="25"/>
    </row>
    <row r="923" spans="4:9">
      <c r="D923" s="12"/>
      <c r="H923" s="15"/>
      <c r="I923" s="25"/>
    </row>
    <row r="924" spans="4:9">
      <c r="D924" s="12"/>
      <c r="H924" s="15"/>
      <c r="I924" s="25"/>
    </row>
    <row r="925" spans="4:9">
      <c r="D925" s="12"/>
      <c r="H925" s="15"/>
      <c r="I925" s="25"/>
    </row>
    <row r="926" spans="4:9">
      <c r="D926" s="12"/>
      <c r="H926" s="15"/>
      <c r="I926" s="25"/>
    </row>
    <row r="927" spans="4:9">
      <c r="D927" s="12"/>
      <c r="H927" s="15"/>
      <c r="I927" s="25"/>
    </row>
    <row r="928" spans="4:9">
      <c r="D928" s="12"/>
      <c r="H928" s="15"/>
      <c r="I928" s="25"/>
    </row>
    <row r="929" spans="4:9">
      <c r="D929" s="12"/>
      <c r="H929" s="15"/>
      <c r="I929" s="25"/>
    </row>
    <row r="930" spans="4:9">
      <c r="D930" s="12"/>
      <c r="H930" s="15"/>
      <c r="I930" s="25"/>
    </row>
    <row r="931" spans="4:9">
      <c r="D931" s="12"/>
      <c r="H931" s="15"/>
      <c r="I931" s="25"/>
    </row>
    <row r="932" spans="4:9">
      <c r="D932" s="12"/>
      <c r="H932" s="15"/>
      <c r="I932" s="25"/>
    </row>
    <row r="933" spans="4:9">
      <c r="D933" s="12"/>
      <c r="H933" s="15"/>
      <c r="I933" s="25"/>
    </row>
    <row r="934" spans="4:9">
      <c r="D934" s="12"/>
      <c r="H934" s="15"/>
      <c r="I934" s="25"/>
    </row>
    <row r="935" spans="4:9">
      <c r="D935" s="12"/>
      <c r="H935" s="15"/>
      <c r="I935" s="25"/>
    </row>
    <row r="936" spans="4:9">
      <c r="D936" s="12"/>
      <c r="H936" s="15"/>
      <c r="I936" s="25"/>
    </row>
    <row r="937" spans="4:9">
      <c r="D937" s="12"/>
      <c r="H937" s="15"/>
      <c r="I937" s="25"/>
    </row>
    <row r="938" spans="4:9">
      <c r="D938" s="12"/>
      <c r="H938" s="15"/>
      <c r="I938" s="25"/>
    </row>
    <row r="939" spans="4:9">
      <c r="D939" s="12"/>
      <c r="H939" s="15"/>
      <c r="I939" s="25"/>
    </row>
    <row r="940" spans="4:9">
      <c r="D940" s="12"/>
      <c r="H940" s="15"/>
      <c r="I940" s="25"/>
    </row>
    <row r="941" spans="4:9">
      <c r="D941" s="12"/>
      <c r="H941" s="15"/>
      <c r="I941" s="25"/>
    </row>
    <row r="942" spans="4:9">
      <c r="D942" s="12"/>
      <c r="H942" s="15"/>
      <c r="I942" s="25"/>
    </row>
    <row r="943" spans="4:9">
      <c r="D943" s="12"/>
      <c r="H943" s="15"/>
      <c r="I943" s="25"/>
    </row>
    <row r="944" spans="4:9">
      <c r="D944" s="12"/>
      <c r="H944" s="15"/>
      <c r="I944" s="25"/>
    </row>
    <row r="945" spans="4:9">
      <c r="D945" s="12"/>
      <c r="H945" s="15"/>
      <c r="I945" s="25"/>
    </row>
    <row r="946" spans="4:9">
      <c r="D946" s="12"/>
      <c r="H946" s="15"/>
      <c r="I946" s="25"/>
    </row>
    <row r="947" spans="4:9">
      <c r="D947" s="12"/>
      <c r="H947" s="15"/>
      <c r="I947" s="25"/>
    </row>
    <row r="948" spans="4:9">
      <c r="D948" s="12"/>
      <c r="H948" s="15"/>
      <c r="I948" s="25"/>
    </row>
    <row r="949" spans="4:9">
      <c r="D949" s="12"/>
      <c r="H949" s="15"/>
      <c r="I949" s="25"/>
    </row>
    <row r="950" spans="4:9">
      <c r="D950" s="12"/>
      <c r="H950" s="15"/>
      <c r="I950" s="25"/>
    </row>
    <row r="951" spans="4:9">
      <c r="D951" s="12"/>
      <c r="H951" s="15"/>
      <c r="I951" s="25"/>
    </row>
    <row r="952" spans="4:9">
      <c r="D952" s="12"/>
      <c r="H952" s="15"/>
      <c r="I952" s="25"/>
    </row>
    <row r="953" spans="4:9">
      <c r="D953" s="12"/>
      <c r="H953" s="15"/>
      <c r="I953" s="25"/>
    </row>
    <row r="954" spans="4:9">
      <c r="D954" s="12"/>
      <c r="H954" s="15"/>
      <c r="I954" s="25"/>
    </row>
    <row r="955" spans="4:9">
      <c r="D955" s="12"/>
      <c r="H955" s="15"/>
      <c r="I955" s="25"/>
    </row>
    <row r="956" spans="4:9">
      <c r="D956" s="12"/>
      <c r="H956" s="15"/>
      <c r="I956" s="25"/>
    </row>
    <row r="957" spans="4:9">
      <c r="D957" s="12"/>
      <c r="H957" s="15"/>
      <c r="I957" s="25"/>
    </row>
    <row r="958" spans="4:9">
      <c r="D958" s="12"/>
      <c r="H958" s="15"/>
      <c r="I958" s="25"/>
    </row>
    <row r="959" spans="4:9">
      <c r="D959" s="12"/>
      <c r="H959" s="15"/>
      <c r="I959" s="25"/>
    </row>
    <row r="960" spans="4:9">
      <c r="D960" s="12"/>
      <c r="H960" s="15"/>
      <c r="I960" s="25"/>
    </row>
    <row r="961" spans="4:9">
      <c r="D961" s="12"/>
      <c r="H961" s="15"/>
      <c r="I961" s="25"/>
    </row>
    <row r="962" spans="4:9">
      <c r="D962" s="12"/>
      <c r="H962" s="15"/>
      <c r="I962" s="25"/>
    </row>
    <row r="963" spans="4:9">
      <c r="D963" s="12"/>
      <c r="H963" s="15"/>
      <c r="I963" s="25"/>
    </row>
    <row r="964" spans="4:9">
      <c r="D964" s="12"/>
      <c r="H964" s="15"/>
      <c r="I964" s="25"/>
    </row>
    <row r="965" spans="4:9">
      <c r="D965" s="12"/>
      <c r="H965" s="15"/>
      <c r="I965" s="25"/>
    </row>
    <row r="966" spans="4:9">
      <c r="D966" s="12"/>
      <c r="H966" s="15"/>
      <c r="I966" s="25"/>
    </row>
    <row r="967" spans="4:9">
      <c r="D967" s="12"/>
      <c r="H967" s="15"/>
      <c r="I967" s="25"/>
    </row>
    <row r="968" spans="4:9">
      <c r="D968" s="12"/>
      <c r="H968" s="15"/>
      <c r="I968" s="25"/>
    </row>
    <row r="969" spans="4:9">
      <c r="D969" s="12"/>
      <c r="H969" s="15"/>
      <c r="I969" s="25"/>
    </row>
    <row r="970" spans="4:9">
      <c r="D970" s="12"/>
      <c r="H970" s="15"/>
      <c r="I970" s="25"/>
    </row>
    <row r="971" spans="4:9">
      <c r="D971" s="12"/>
      <c r="H971" s="15"/>
      <c r="I971" s="25"/>
    </row>
    <row r="972" spans="4:9">
      <c r="D972" s="12"/>
      <c r="H972" s="15"/>
      <c r="I972" s="25"/>
    </row>
    <row r="973" spans="4:9">
      <c r="D973" s="12"/>
      <c r="H973" s="15"/>
      <c r="I973" s="25"/>
    </row>
    <row r="974" spans="4:9">
      <c r="D974" s="12"/>
      <c r="H974" s="15"/>
      <c r="I974" s="25"/>
    </row>
    <row r="975" spans="4:9">
      <c r="D975" s="12"/>
      <c r="H975" s="15"/>
      <c r="I975" s="25"/>
    </row>
    <row r="976" spans="4:9">
      <c r="D976" s="12"/>
      <c r="H976" s="15"/>
      <c r="I976" s="25"/>
    </row>
    <row r="977" spans="4:9">
      <c r="D977" s="12"/>
      <c r="H977" s="15"/>
      <c r="I977" s="25"/>
    </row>
    <row r="978" spans="4:9">
      <c r="D978" s="12"/>
      <c r="H978" s="15"/>
      <c r="I978" s="25"/>
    </row>
    <row r="979" spans="4:9">
      <c r="D979" s="12"/>
      <c r="H979" s="15"/>
      <c r="I979" s="25"/>
    </row>
    <row r="980" spans="4:9">
      <c r="D980" s="12"/>
      <c r="H980" s="15"/>
      <c r="I980" s="25"/>
    </row>
    <row r="981" spans="4:9">
      <c r="D981" s="12"/>
      <c r="H981" s="15"/>
      <c r="I981" s="25"/>
    </row>
    <row r="982" spans="4:9">
      <c r="D982" s="12"/>
      <c r="H982" s="15"/>
      <c r="I982" s="25"/>
    </row>
    <row r="983" spans="4:9">
      <c r="D983" s="12"/>
      <c r="H983" s="15"/>
      <c r="I983" s="25"/>
    </row>
    <row r="984" spans="4:9">
      <c r="D984" s="12"/>
      <c r="H984" s="15"/>
      <c r="I984" s="25"/>
    </row>
    <row r="985" spans="4:9">
      <c r="D985" s="12"/>
      <c r="H985" s="15"/>
      <c r="I985" s="25"/>
    </row>
    <row r="986" spans="4:9">
      <c r="D986" s="12"/>
      <c r="H986" s="15"/>
      <c r="I986" s="25"/>
    </row>
    <row r="987" spans="4:9">
      <c r="D987" s="12"/>
      <c r="H987" s="15"/>
      <c r="I987" s="25"/>
    </row>
    <row r="988" spans="4:9">
      <c r="D988" s="12"/>
      <c r="H988" s="15"/>
      <c r="I988" s="25"/>
    </row>
    <row r="989" spans="4:9">
      <c r="D989" s="12"/>
      <c r="H989" s="15"/>
      <c r="I989" s="25"/>
    </row>
    <row r="990" spans="4:9">
      <c r="D990" s="12"/>
      <c r="H990" s="15"/>
      <c r="I990" s="25"/>
    </row>
    <row r="991" spans="4:9">
      <c r="D991" s="12"/>
      <c r="H991" s="15"/>
      <c r="I991" s="25"/>
    </row>
    <row r="992" spans="4:9">
      <c r="D992" s="12"/>
      <c r="H992" s="15"/>
      <c r="I992" s="25"/>
    </row>
    <row r="993" spans="4:9">
      <c r="D993" s="12"/>
      <c r="H993" s="15"/>
      <c r="I993" s="25"/>
    </row>
    <row r="994" spans="4:9">
      <c r="D994" s="12"/>
      <c r="H994" s="15"/>
      <c r="I994" s="25"/>
    </row>
    <row r="995" spans="4:9">
      <c r="D995" s="12"/>
      <c r="H995" s="15"/>
      <c r="I995" s="25"/>
    </row>
    <row r="996" spans="4:9">
      <c r="D996" s="12"/>
      <c r="H996" s="15"/>
      <c r="I996" s="25"/>
    </row>
    <row r="997" spans="4:9">
      <c r="D997" s="12"/>
      <c r="H997" s="15"/>
      <c r="I997" s="25"/>
    </row>
    <row r="998" spans="4:9">
      <c r="D998" s="12"/>
      <c r="H998" s="15"/>
      <c r="I998" s="25"/>
    </row>
    <row r="999" spans="4:9">
      <c r="D999" s="12"/>
      <c r="H999" s="15"/>
      <c r="I999" s="25"/>
    </row>
    <row r="1000" spans="4:9">
      <c r="D1000" s="12"/>
      <c r="H1000" s="15"/>
      <c r="I1000" s="25"/>
    </row>
    <row r="1001" spans="4:9">
      <c r="D1001" s="12"/>
      <c r="H1001" s="15"/>
      <c r="I1001" s="25"/>
    </row>
    <row r="1002" spans="4:9">
      <c r="D1002" s="12"/>
      <c r="H1002" s="15"/>
      <c r="I1002" s="25"/>
    </row>
    <row r="1003" spans="4:9">
      <c r="D1003" s="12"/>
      <c r="H1003" s="15"/>
      <c r="I1003" s="25"/>
    </row>
    <row r="1004" spans="4:9">
      <c r="D1004" s="12"/>
      <c r="H1004" s="15"/>
      <c r="I1004" s="25"/>
    </row>
    <row r="1005" spans="4:9">
      <c r="D1005" s="12"/>
      <c r="H1005" s="15"/>
      <c r="I1005" s="25"/>
    </row>
    <row r="1006" spans="4:9">
      <c r="D1006" s="12"/>
      <c r="H1006" s="15"/>
      <c r="I1006" s="25"/>
    </row>
    <row r="1007" spans="4:9">
      <c r="D1007" s="12"/>
      <c r="H1007" s="15"/>
      <c r="I1007" s="25"/>
    </row>
    <row r="1008" spans="4:9">
      <c r="D1008" s="12"/>
      <c r="H1008" s="15"/>
      <c r="I1008" s="25"/>
    </row>
    <row r="1009" spans="4:9">
      <c r="D1009" s="12"/>
      <c r="H1009" s="15"/>
      <c r="I1009" s="25"/>
    </row>
    <row r="1010" spans="4:9">
      <c r="D1010" s="12"/>
      <c r="H1010" s="15"/>
      <c r="I1010" s="25"/>
    </row>
    <row r="1011" spans="4:9">
      <c r="D1011" s="12"/>
      <c r="H1011" s="15"/>
      <c r="I1011" s="25"/>
    </row>
    <row r="1012" spans="4:9">
      <c r="D1012" s="12"/>
      <c r="H1012" s="15"/>
      <c r="I1012" s="25"/>
    </row>
    <row r="1013" spans="4:9">
      <c r="D1013" s="12"/>
      <c r="H1013" s="15"/>
      <c r="I1013" s="25"/>
    </row>
    <row r="1014" spans="4:9">
      <c r="D1014" s="12"/>
      <c r="H1014" s="15"/>
      <c r="I1014" s="25"/>
    </row>
    <row r="1015" spans="4:9">
      <c r="D1015" s="12"/>
      <c r="H1015" s="15"/>
      <c r="I1015" s="25"/>
    </row>
    <row r="1016" spans="4:9">
      <c r="D1016" s="12"/>
      <c r="H1016" s="15"/>
      <c r="I1016" s="25"/>
    </row>
    <row r="1017" spans="4:9">
      <c r="D1017" s="12"/>
      <c r="H1017" s="15"/>
      <c r="I1017" s="25"/>
    </row>
    <row r="1018" spans="4:9">
      <c r="D1018" s="12"/>
      <c r="H1018" s="15"/>
      <c r="I1018" s="25"/>
    </row>
    <row r="1019" spans="4:9">
      <c r="D1019" s="12"/>
      <c r="H1019" s="15"/>
      <c r="I1019" s="25"/>
    </row>
    <row r="1020" spans="4:9">
      <c r="D1020" s="12"/>
      <c r="H1020" s="15"/>
      <c r="I1020" s="25"/>
    </row>
    <row r="1021" spans="4:9">
      <c r="D1021" s="12"/>
      <c r="H1021" s="15"/>
      <c r="I1021" s="25"/>
    </row>
    <row r="1022" spans="4:9">
      <c r="D1022" s="12"/>
      <c r="H1022" s="15"/>
      <c r="I1022" s="25"/>
    </row>
    <row r="1023" spans="4:9">
      <c r="D1023" s="12"/>
      <c r="H1023" s="15"/>
      <c r="I1023" s="25"/>
    </row>
    <row r="1024" spans="4:9">
      <c r="D1024" s="12"/>
      <c r="H1024" s="15"/>
      <c r="I1024" s="25"/>
    </row>
    <row r="1025" spans="4:9">
      <c r="D1025" s="12"/>
      <c r="H1025" s="15"/>
      <c r="I1025" s="25"/>
    </row>
    <row r="1026" spans="4:9">
      <c r="D1026" s="12"/>
      <c r="H1026" s="15"/>
      <c r="I1026" s="25"/>
    </row>
    <row r="1027" spans="4:9">
      <c r="D1027" s="12"/>
      <c r="H1027" s="15"/>
      <c r="I1027" s="25"/>
    </row>
  </sheetData>
  <autoFilter ref="B3:AF3" xr:uid="{00000000-0009-0000-0000-000001000000}"/>
  <mergeCells count="3">
    <mergeCell ref="B194:B195"/>
    <mergeCell ref="B196:B197"/>
    <mergeCell ref="B198:B199"/>
  </mergeCells>
  <conditionalFormatting sqref="I3:I203">
    <cfRule type="cellIs" dxfId="55" priority="7" operator="equal">
      <formula>"OK but improveable"</formula>
    </cfRule>
    <cfRule type="containsText" dxfId="54" priority="9" operator="containsText" text="Not tested, not relevant, but should be ok">
      <formula>NOT(ISERROR(SEARCH(("Not tested, not relevant, but should be ok"),(I3))))</formula>
    </cfRule>
    <cfRule type="cellIs" dxfId="53" priority="10" operator="equal">
      <formula>"not working but not relvant"</formula>
    </cfRule>
  </conditionalFormatting>
  <conditionalFormatting sqref="I4:I203">
    <cfRule type="cellIs" dxfId="52" priority="1" operator="equal">
      <formula>"OK"</formula>
    </cfRule>
    <cfRule type="cellIs" dxfId="51" priority="2" operator="equal">
      <formula>"Working but not fully tested"</formula>
    </cfRule>
    <cfRule type="cellIs" dxfId="50" priority="3" operator="equal">
      <formula>"random issues"</formula>
    </cfRule>
    <cfRule type="cellIs" dxfId="49" priority="4" operator="equal">
      <formula>"not working"</formula>
    </cfRule>
    <cfRule type="cellIs" dxfId="48" priority="5" operator="equal">
      <formula>"solvable issue"</formula>
    </cfRule>
    <cfRule type="cellIs" dxfId="47" priority="6" operator="equal">
      <formula>"repeatable issue"</formula>
    </cfRule>
    <cfRule type="cellIs" dxfId="46" priority="8" operator="equal">
      <formula>"OOR-Test OK"</formula>
    </cfRule>
    <cfRule type="cellIs" dxfId="45" priority="11" operator="equal">
      <formula>"not measured, but should be ok"</formula>
    </cfRule>
    <cfRule type="cellIs" dxfId="44" priority="12" operator="equal">
      <formula>"tested but inaccurate"</formula>
    </cfRule>
    <cfRule type="cellIs" dxfId="43" priority="13" operator="equal">
      <formula>"tested but inaccurate, not important"</formula>
    </cfRule>
    <cfRule type="cellIs" dxfId="42" priority="14" operator="equal">
      <formula>"OK, preliminary"</formula>
    </cfRule>
  </conditionalFormatting>
  <dataValidations count="1">
    <dataValidation type="list" allowBlank="1" sqref="I4:I202" xr:uid="{00000000-0002-0000-0100-000000000000}">
      <formula1>"OK,OK but improveable,Working but not fully tested,OK, improveable,  doesn't matter,solvable issue,repeatable issue,random issues,not working,Not tested, not relevant, but should be ok,Not tested yet,not working but not relvant,not measured, but should be"&amp;" ok,tested but inaccurate,tested but inaccurate, not important,OK, preliminary"</formula1>
    </dataValidation>
  </dataValidations>
  <printOptions horizontalCentered="1" gridLines="1"/>
  <pageMargins left="0.7" right="0.7" top="0.75" bottom="0.75" header="0" footer="0"/>
  <pageSetup paperSize="9" scale="55" pageOrder="overThenDown" orientation="landscape"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027"/>
  <sheetViews>
    <sheetView workbookViewId="0"/>
  </sheetViews>
  <sheetFormatPr defaultColWidth="12.7109375" defaultRowHeight="15.75" customHeight="1"/>
  <cols>
    <col min="1" max="1" width="8" customWidth="1"/>
    <col min="2" max="2" width="34.7109375" customWidth="1"/>
    <col min="3" max="3" width="47.28515625" customWidth="1"/>
    <col min="4" max="4" width="12.42578125" customWidth="1"/>
    <col min="5" max="7" width="6.7109375" customWidth="1"/>
    <col min="9" max="9" width="30.42578125" customWidth="1"/>
    <col min="10" max="10" width="27.7109375" customWidth="1"/>
    <col min="11" max="11" width="13.140625" customWidth="1"/>
    <col min="20" max="20" width="14.7109375" customWidth="1"/>
    <col min="25" max="25" width="15.28515625" customWidth="1"/>
    <col min="26" max="26" width="16" customWidth="1"/>
  </cols>
  <sheetData>
    <row r="1" spans="1:32">
      <c r="A1" s="11"/>
      <c r="B1" s="11"/>
      <c r="C1" s="3"/>
      <c r="D1" s="12"/>
      <c r="E1" s="3"/>
      <c r="F1" s="3"/>
      <c r="G1" s="3"/>
      <c r="H1" s="13"/>
      <c r="I1" s="3"/>
      <c r="J1" s="13"/>
    </row>
    <row r="2" spans="1:32">
      <c r="A2" s="11"/>
      <c r="B2" s="11" t="s">
        <v>11</v>
      </c>
      <c r="C2" s="3" t="s">
        <v>12</v>
      </c>
      <c r="D2" s="12" t="s">
        <v>13</v>
      </c>
      <c r="E2" s="3">
        <f>COUNTA(I4:I202)</f>
        <v>0</v>
      </c>
      <c r="F2" s="3" t="s">
        <v>14</v>
      </c>
      <c r="G2" s="3">
        <f>(202-3)</f>
        <v>199</v>
      </c>
      <c r="H2" s="13">
        <f>E2/G2</f>
        <v>0</v>
      </c>
      <c r="I2" s="3" t="s">
        <v>15</v>
      </c>
      <c r="J2" s="13"/>
    </row>
    <row r="3" spans="1:32">
      <c r="A3" s="11" t="s">
        <v>16</v>
      </c>
      <c r="B3" s="3" t="s">
        <v>17</v>
      </c>
      <c r="C3" s="3" t="s">
        <v>18</v>
      </c>
      <c r="D3" s="14" t="s">
        <v>19</v>
      </c>
      <c r="E3" s="3" t="s">
        <v>20</v>
      </c>
      <c r="H3" s="15" t="s">
        <v>21</v>
      </c>
      <c r="I3" s="3" t="s">
        <v>22</v>
      </c>
      <c r="J3" s="3" t="s">
        <v>23</v>
      </c>
    </row>
    <row r="4" spans="1:32">
      <c r="A4" s="3" t="s">
        <v>24</v>
      </c>
      <c r="B4" s="3" t="s">
        <v>25</v>
      </c>
      <c r="C4" s="3" t="s">
        <v>26</v>
      </c>
      <c r="D4" s="12"/>
      <c r="E4" s="3" t="s">
        <v>27</v>
      </c>
      <c r="H4" s="15"/>
      <c r="I4" s="3"/>
    </row>
    <row r="5" spans="1:32">
      <c r="A5" s="3"/>
      <c r="B5" s="3" t="s">
        <v>25</v>
      </c>
      <c r="C5" s="3" t="s">
        <v>32</v>
      </c>
      <c r="D5" s="12"/>
      <c r="E5" s="3" t="s">
        <v>27</v>
      </c>
      <c r="H5" s="15"/>
      <c r="I5" s="3"/>
    </row>
    <row r="6" spans="1:32">
      <c r="A6" s="3"/>
      <c r="B6" s="3" t="s">
        <v>25</v>
      </c>
      <c r="C6" s="3" t="s">
        <v>33</v>
      </c>
      <c r="D6" s="12"/>
      <c r="E6" s="3" t="s">
        <v>27</v>
      </c>
      <c r="H6" s="15"/>
      <c r="I6" s="3"/>
    </row>
    <row r="7" spans="1:32">
      <c r="A7" s="3"/>
      <c r="B7" s="3" t="s">
        <v>25</v>
      </c>
      <c r="C7" s="3" t="s">
        <v>34</v>
      </c>
      <c r="D7" s="12"/>
      <c r="E7" s="3" t="s">
        <v>27</v>
      </c>
      <c r="H7" s="15"/>
      <c r="I7" s="3"/>
    </row>
    <row r="8" spans="1:32">
      <c r="A8" s="3"/>
      <c r="B8" s="3" t="s">
        <v>25</v>
      </c>
      <c r="C8" s="3" t="s">
        <v>397</v>
      </c>
      <c r="D8" s="12"/>
      <c r="E8" s="3" t="s">
        <v>36</v>
      </c>
      <c r="H8" s="15"/>
      <c r="I8" s="3"/>
    </row>
    <row r="9" spans="1:32">
      <c r="A9" s="3" t="s">
        <v>24</v>
      </c>
      <c r="B9" s="3" t="s">
        <v>25</v>
      </c>
      <c r="C9" s="3" t="s">
        <v>398</v>
      </c>
      <c r="D9" s="12"/>
      <c r="E9" s="3" t="s">
        <v>36</v>
      </c>
      <c r="H9" s="15"/>
      <c r="I9" s="3"/>
    </row>
    <row r="10" spans="1:32">
      <c r="B10" s="3" t="s">
        <v>25</v>
      </c>
      <c r="C10" s="3" t="s">
        <v>399</v>
      </c>
      <c r="D10" s="12"/>
      <c r="E10" s="3" t="s">
        <v>36</v>
      </c>
      <c r="H10" s="15"/>
      <c r="I10" s="3"/>
    </row>
    <row r="11" spans="1:32">
      <c r="A11" s="3" t="s">
        <v>24</v>
      </c>
      <c r="B11" s="3" t="s">
        <v>25</v>
      </c>
      <c r="C11" s="3" t="s">
        <v>400</v>
      </c>
      <c r="D11" s="12"/>
      <c r="E11" s="3" t="s">
        <v>36</v>
      </c>
      <c r="H11" s="15"/>
      <c r="I11" s="3"/>
    </row>
    <row r="12" spans="1:32">
      <c r="A12" s="3"/>
      <c r="B12" s="3" t="s">
        <v>25</v>
      </c>
      <c r="C12" s="3" t="s">
        <v>40</v>
      </c>
      <c r="D12" s="12"/>
      <c r="E12" s="3" t="s">
        <v>36</v>
      </c>
      <c r="H12" s="15"/>
      <c r="I12" s="3"/>
    </row>
    <row r="13" spans="1:32">
      <c r="A13" s="3"/>
      <c r="B13" s="3" t="s">
        <v>25</v>
      </c>
      <c r="C13" s="3" t="s">
        <v>41</v>
      </c>
      <c r="D13" s="12"/>
      <c r="E13" s="3" t="s">
        <v>36</v>
      </c>
      <c r="H13" s="15"/>
      <c r="I13" s="3"/>
    </row>
    <row r="14" spans="1:32">
      <c r="A14" s="3"/>
      <c r="B14" s="3" t="s">
        <v>25</v>
      </c>
      <c r="C14" s="3" t="s">
        <v>42</v>
      </c>
      <c r="D14" s="12"/>
      <c r="E14" s="3" t="s">
        <v>36</v>
      </c>
      <c r="H14" s="15"/>
      <c r="I14" s="3"/>
    </row>
    <row r="15" spans="1:32">
      <c r="A15" s="3"/>
      <c r="B15" s="3" t="s">
        <v>25</v>
      </c>
      <c r="C15" s="3" t="s">
        <v>43</v>
      </c>
      <c r="D15" s="12"/>
      <c r="E15" s="3" t="s">
        <v>36</v>
      </c>
      <c r="H15" s="15"/>
      <c r="I15" s="3"/>
    </row>
    <row r="16" spans="1:32">
      <c r="A16" s="3" t="s">
        <v>24</v>
      </c>
      <c r="B16" s="3" t="s">
        <v>25</v>
      </c>
      <c r="C16" s="3" t="s">
        <v>44</v>
      </c>
      <c r="D16" s="12"/>
      <c r="E16" s="3" t="s">
        <v>36</v>
      </c>
      <c r="H16" s="15"/>
      <c r="I16" s="3"/>
      <c r="AD16" s="16"/>
      <c r="AE16" s="16"/>
      <c r="AF16" s="16"/>
    </row>
    <row r="17" spans="1:10">
      <c r="A17" s="3" t="s">
        <v>24</v>
      </c>
      <c r="B17" s="3" t="s">
        <v>45</v>
      </c>
      <c r="C17" s="3" t="s">
        <v>401</v>
      </c>
      <c r="D17" s="12"/>
      <c r="E17" s="3" t="s">
        <v>47</v>
      </c>
      <c r="H17" s="15"/>
      <c r="I17" s="3"/>
    </row>
    <row r="18" spans="1:10">
      <c r="A18" s="3"/>
      <c r="B18" s="3" t="s">
        <v>45</v>
      </c>
      <c r="C18" s="3" t="s">
        <v>48</v>
      </c>
      <c r="D18" s="12"/>
      <c r="E18" s="3" t="s">
        <v>50</v>
      </c>
      <c r="H18" s="15"/>
      <c r="I18" s="3"/>
    </row>
    <row r="19" spans="1:10">
      <c r="A19" s="3"/>
      <c r="B19" s="3" t="s">
        <v>45</v>
      </c>
      <c r="C19" s="3" t="s">
        <v>52</v>
      </c>
      <c r="D19" s="12"/>
      <c r="E19" s="3" t="s">
        <v>27</v>
      </c>
      <c r="H19" s="15"/>
      <c r="I19" s="3"/>
    </row>
    <row r="20" spans="1:10">
      <c r="A20" s="3"/>
      <c r="B20" s="3" t="s">
        <v>25</v>
      </c>
      <c r="C20" s="3" t="s">
        <v>53</v>
      </c>
      <c r="D20" s="12"/>
      <c r="E20" s="3" t="s">
        <v>27</v>
      </c>
      <c r="H20" s="15"/>
      <c r="I20" s="3"/>
    </row>
    <row r="21" spans="1:10">
      <c r="A21" s="3"/>
      <c r="B21" s="3" t="s">
        <v>45</v>
      </c>
      <c r="C21" s="3" t="s">
        <v>54</v>
      </c>
      <c r="D21" s="12"/>
      <c r="E21" s="3" t="s">
        <v>47</v>
      </c>
      <c r="H21" s="15"/>
      <c r="I21" s="16"/>
    </row>
    <row r="22" spans="1:10">
      <c r="A22" s="3"/>
      <c r="B22" s="3" t="s">
        <v>55</v>
      </c>
      <c r="C22" s="3" t="s">
        <v>56</v>
      </c>
      <c r="D22" s="12"/>
      <c r="E22" s="3" t="s">
        <v>27</v>
      </c>
      <c r="H22" s="15"/>
      <c r="I22" s="3"/>
    </row>
    <row r="23" spans="1:10">
      <c r="A23" s="3"/>
      <c r="B23" s="3" t="s">
        <v>61</v>
      </c>
      <c r="C23" s="3" t="s">
        <v>62</v>
      </c>
      <c r="D23" s="12"/>
      <c r="E23" s="3" t="s">
        <v>36</v>
      </c>
      <c r="H23" s="15"/>
      <c r="I23" s="3"/>
    </row>
    <row r="24" spans="1:10">
      <c r="A24" s="16" t="s">
        <v>24</v>
      </c>
      <c r="B24" s="16" t="s">
        <v>63</v>
      </c>
      <c r="C24" s="3" t="s">
        <v>64</v>
      </c>
      <c r="D24" s="18"/>
      <c r="E24" s="16" t="s">
        <v>27</v>
      </c>
      <c r="F24" s="16"/>
      <c r="G24" s="16"/>
      <c r="H24" s="19"/>
      <c r="I24" s="16"/>
      <c r="J24" s="16"/>
    </row>
    <row r="25" spans="1:10">
      <c r="A25" s="3" t="s">
        <v>24</v>
      </c>
      <c r="B25" s="3" t="s">
        <v>65</v>
      </c>
      <c r="C25" s="3" t="s">
        <v>66</v>
      </c>
      <c r="D25" s="12"/>
      <c r="E25" s="3" t="s">
        <v>27</v>
      </c>
      <c r="H25" s="15"/>
      <c r="I25" s="3"/>
    </row>
    <row r="26" spans="1:10">
      <c r="A26" s="3" t="s">
        <v>24</v>
      </c>
      <c r="B26" s="3" t="s">
        <v>67</v>
      </c>
      <c r="C26" s="3" t="s">
        <v>62</v>
      </c>
      <c r="D26" s="12"/>
      <c r="E26" s="3" t="s">
        <v>27</v>
      </c>
      <c r="H26" s="15"/>
      <c r="I26" s="3"/>
    </row>
    <row r="27" spans="1:10">
      <c r="A27" s="3" t="s">
        <v>24</v>
      </c>
      <c r="B27" s="3" t="s">
        <v>68</v>
      </c>
      <c r="C27" s="3" t="s">
        <v>62</v>
      </c>
      <c r="D27" s="12"/>
      <c r="E27" s="3" t="s">
        <v>27</v>
      </c>
      <c r="H27" s="15"/>
      <c r="I27" s="3"/>
    </row>
    <row r="28" spans="1:10">
      <c r="A28" s="3" t="s">
        <v>24</v>
      </c>
      <c r="B28" s="3" t="s">
        <v>69</v>
      </c>
      <c r="C28" s="3" t="s">
        <v>62</v>
      </c>
      <c r="D28" s="12"/>
      <c r="E28" s="3" t="s">
        <v>27</v>
      </c>
      <c r="H28" s="15"/>
      <c r="I28" s="3"/>
    </row>
    <row r="29" spans="1:10">
      <c r="A29" s="3"/>
      <c r="B29" s="3" t="s">
        <v>70</v>
      </c>
      <c r="C29" s="3" t="s">
        <v>71</v>
      </c>
      <c r="D29" s="12"/>
      <c r="E29" s="3" t="s">
        <v>27</v>
      </c>
      <c r="H29" s="15"/>
      <c r="I29" s="3"/>
    </row>
    <row r="30" spans="1:10">
      <c r="A30" s="3"/>
      <c r="B30" s="3" t="s">
        <v>70</v>
      </c>
      <c r="C30" s="3" t="s">
        <v>73</v>
      </c>
      <c r="D30" s="12"/>
      <c r="E30" s="3" t="s">
        <v>27</v>
      </c>
      <c r="H30" s="15"/>
      <c r="I30" s="3"/>
    </row>
    <row r="31" spans="1:10">
      <c r="A31" s="3"/>
      <c r="B31" s="3" t="s">
        <v>70</v>
      </c>
      <c r="C31" s="3" t="s">
        <v>74</v>
      </c>
      <c r="E31" s="3" t="s">
        <v>27</v>
      </c>
      <c r="H31" s="15"/>
      <c r="I31" s="3"/>
    </row>
    <row r="32" spans="1:10">
      <c r="A32" s="3"/>
      <c r="B32" s="3" t="s">
        <v>70</v>
      </c>
      <c r="C32" s="3" t="s">
        <v>75</v>
      </c>
      <c r="D32" s="20"/>
      <c r="E32" s="3" t="s">
        <v>27</v>
      </c>
      <c r="H32" s="15"/>
      <c r="I32" s="3"/>
    </row>
    <row r="33" spans="1:10">
      <c r="A33" s="3"/>
      <c r="B33" s="3" t="s">
        <v>70</v>
      </c>
      <c r="C33" s="3" t="s">
        <v>76</v>
      </c>
      <c r="E33" s="3" t="s">
        <v>27</v>
      </c>
      <c r="H33" s="15"/>
      <c r="I33" s="3"/>
    </row>
    <row r="34" spans="1:10">
      <c r="A34" s="3"/>
      <c r="B34" s="3" t="s">
        <v>77</v>
      </c>
      <c r="C34" s="3" t="s">
        <v>78</v>
      </c>
      <c r="D34" s="12"/>
      <c r="E34" s="3" t="s">
        <v>80</v>
      </c>
      <c r="H34" s="15"/>
      <c r="I34" s="3"/>
    </row>
    <row r="35" spans="1:10">
      <c r="A35" s="3"/>
      <c r="B35" s="3" t="s">
        <v>77</v>
      </c>
      <c r="C35" s="3" t="s">
        <v>82</v>
      </c>
      <c r="D35" s="12"/>
      <c r="E35" s="3" t="s">
        <v>27</v>
      </c>
      <c r="H35" s="15"/>
      <c r="I35" s="3"/>
    </row>
    <row r="36" spans="1:10">
      <c r="A36" s="3"/>
      <c r="B36" s="3" t="s">
        <v>77</v>
      </c>
      <c r="C36" s="3" t="s">
        <v>84</v>
      </c>
      <c r="D36" s="12"/>
      <c r="E36" s="14" t="s">
        <v>80</v>
      </c>
      <c r="H36" s="15"/>
      <c r="I36" s="3"/>
    </row>
    <row r="37" spans="1:10">
      <c r="B37" s="3" t="s">
        <v>77</v>
      </c>
      <c r="C37" s="3" t="s">
        <v>85</v>
      </c>
      <c r="D37" s="12"/>
      <c r="E37" s="14"/>
      <c r="F37" s="14"/>
      <c r="G37" s="14"/>
      <c r="H37" s="15"/>
      <c r="I37" s="3"/>
    </row>
    <row r="38" spans="1:10">
      <c r="A38" s="3"/>
      <c r="B38" s="3" t="s">
        <v>77</v>
      </c>
      <c r="C38" s="3" t="s">
        <v>87</v>
      </c>
      <c r="D38" s="12"/>
      <c r="E38" s="14" t="s">
        <v>80</v>
      </c>
      <c r="F38" s="14"/>
      <c r="G38" s="14"/>
      <c r="H38" s="15"/>
      <c r="I38" s="3"/>
    </row>
    <row r="39" spans="1:10">
      <c r="A39" s="3"/>
      <c r="B39" s="3" t="s">
        <v>77</v>
      </c>
      <c r="C39" s="3" t="s">
        <v>88</v>
      </c>
      <c r="D39" s="12"/>
      <c r="E39" s="14" t="s">
        <v>80</v>
      </c>
      <c r="F39" s="14"/>
      <c r="G39" s="14"/>
      <c r="H39" s="15"/>
      <c r="I39" s="3"/>
    </row>
    <row r="40" spans="1:10">
      <c r="A40" s="3"/>
      <c r="B40" s="3" t="s">
        <v>77</v>
      </c>
      <c r="C40" s="3" t="s">
        <v>89</v>
      </c>
      <c r="D40" s="12"/>
      <c r="E40" s="14" t="s">
        <v>80</v>
      </c>
      <c r="F40" s="14"/>
      <c r="G40" s="14"/>
      <c r="H40" s="15"/>
      <c r="I40" s="3"/>
    </row>
    <row r="41" spans="1:10">
      <c r="A41" s="3"/>
      <c r="B41" s="3" t="s">
        <v>77</v>
      </c>
      <c r="C41" s="3" t="s">
        <v>90</v>
      </c>
      <c r="D41" s="12"/>
      <c r="E41" s="14" t="s">
        <v>80</v>
      </c>
      <c r="F41" s="14"/>
      <c r="G41" s="14"/>
      <c r="H41" s="15"/>
      <c r="I41" s="3"/>
    </row>
    <row r="42" spans="1:10">
      <c r="A42" s="3"/>
      <c r="B42" s="3" t="s">
        <v>77</v>
      </c>
      <c r="C42" s="3" t="s">
        <v>91</v>
      </c>
      <c r="D42" s="12"/>
      <c r="E42" s="14" t="s">
        <v>80</v>
      </c>
      <c r="F42" s="14"/>
      <c r="G42" s="14"/>
      <c r="H42" s="15"/>
      <c r="I42" s="3"/>
    </row>
    <row r="43" spans="1:10">
      <c r="A43" s="3"/>
      <c r="B43" s="3" t="s">
        <v>92</v>
      </c>
      <c r="C43" s="3" t="s">
        <v>93</v>
      </c>
      <c r="D43" s="21"/>
      <c r="E43" s="14" t="s">
        <v>47</v>
      </c>
      <c r="F43" s="14"/>
      <c r="G43" s="14"/>
      <c r="H43" s="15"/>
      <c r="I43" s="3"/>
    </row>
    <row r="44" spans="1:10">
      <c r="A44" s="3"/>
      <c r="B44" s="3" t="s">
        <v>92</v>
      </c>
      <c r="C44" s="3" t="s">
        <v>94</v>
      </c>
      <c r="D44" s="21"/>
      <c r="E44" s="14" t="s">
        <v>47</v>
      </c>
      <c r="F44" s="14"/>
      <c r="G44" s="14"/>
      <c r="H44" s="15"/>
      <c r="I44" s="3"/>
    </row>
    <row r="45" spans="1:10">
      <c r="A45" s="3"/>
      <c r="B45" s="3" t="s">
        <v>92</v>
      </c>
      <c r="C45" s="3" t="s">
        <v>95</v>
      </c>
      <c r="D45" s="21"/>
      <c r="E45" s="14" t="s">
        <v>47</v>
      </c>
      <c r="F45" s="14"/>
      <c r="G45" s="14"/>
      <c r="H45" s="15"/>
      <c r="I45" s="3"/>
    </row>
    <row r="46" spans="1:10">
      <c r="A46" s="3"/>
      <c r="B46" s="3" t="s">
        <v>92</v>
      </c>
      <c r="C46" s="3" t="s">
        <v>96</v>
      </c>
      <c r="D46" s="21"/>
      <c r="E46" s="14" t="s">
        <v>47</v>
      </c>
      <c r="F46" s="14"/>
      <c r="G46" s="14"/>
      <c r="H46" s="15"/>
      <c r="I46" s="3"/>
    </row>
    <row r="47" spans="1:10">
      <c r="A47" s="3"/>
      <c r="B47" s="3" t="s">
        <v>92</v>
      </c>
      <c r="C47" s="3" t="s">
        <v>97</v>
      </c>
      <c r="D47" s="21"/>
      <c r="E47" s="14" t="s">
        <v>47</v>
      </c>
      <c r="F47" s="14"/>
      <c r="G47" s="14"/>
      <c r="H47" s="15"/>
      <c r="I47" s="3"/>
    </row>
    <row r="48" spans="1:10">
      <c r="A48" s="3"/>
      <c r="B48" s="3" t="s">
        <v>98</v>
      </c>
      <c r="C48" s="3" t="s">
        <v>99</v>
      </c>
      <c r="D48" s="12"/>
      <c r="E48" s="3" t="s">
        <v>100</v>
      </c>
      <c r="H48" s="15"/>
      <c r="I48" s="3"/>
      <c r="J48" s="22"/>
    </row>
    <row r="49" spans="1:10">
      <c r="A49" s="3"/>
      <c r="B49" s="3" t="s">
        <v>98</v>
      </c>
      <c r="C49" s="3" t="s">
        <v>102</v>
      </c>
      <c r="D49" s="12"/>
      <c r="E49" s="3" t="s">
        <v>100</v>
      </c>
      <c r="H49" s="15"/>
      <c r="I49" s="3"/>
      <c r="J49" s="22"/>
    </row>
    <row r="50" spans="1:10">
      <c r="A50" s="3"/>
      <c r="B50" s="3" t="s">
        <v>98</v>
      </c>
      <c r="C50" s="3" t="s">
        <v>104</v>
      </c>
      <c r="D50" s="12"/>
      <c r="E50" s="3" t="s">
        <v>100</v>
      </c>
      <c r="H50" s="15"/>
      <c r="I50" s="3"/>
      <c r="J50" s="22"/>
    </row>
    <row r="51" spans="1:10">
      <c r="A51" s="3"/>
      <c r="B51" s="3" t="s">
        <v>98</v>
      </c>
      <c r="C51" s="3" t="s">
        <v>106</v>
      </c>
      <c r="D51" s="12"/>
      <c r="E51" s="3" t="s">
        <v>100</v>
      </c>
      <c r="H51" s="15"/>
      <c r="I51" s="3"/>
      <c r="J51" s="22"/>
    </row>
    <row r="52" spans="1:10">
      <c r="A52" s="3"/>
      <c r="B52" s="3" t="s">
        <v>98</v>
      </c>
      <c r="C52" s="3" t="s">
        <v>108</v>
      </c>
      <c r="D52" s="12"/>
      <c r="E52" s="3" t="s">
        <v>100</v>
      </c>
      <c r="H52" s="15"/>
      <c r="I52" s="3"/>
      <c r="J52" s="22"/>
    </row>
    <row r="53" spans="1:10">
      <c r="A53" s="3"/>
      <c r="B53" s="3" t="s">
        <v>110</v>
      </c>
      <c r="C53" s="3" t="s">
        <v>111</v>
      </c>
      <c r="E53" s="3" t="s">
        <v>112</v>
      </c>
      <c r="H53" s="4"/>
      <c r="I53" s="3"/>
    </row>
    <row r="54" spans="1:10">
      <c r="A54" s="3"/>
      <c r="B54" s="3" t="s">
        <v>110</v>
      </c>
      <c r="C54" s="3" t="s">
        <v>113</v>
      </c>
      <c r="E54" s="3" t="s">
        <v>112</v>
      </c>
      <c r="H54" s="4"/>
      <c r="I54" s="3"/>
    </row>
    <row r="55" spans="1:10">
      <c r="A55" s="3"/>
      <c r="B55" s="3" t="s">
        <v>110</v>
      </c>
      <c r="C55" s="3" t="s">
        <v>114</v>
      </c>
      <c r="E55" s="3" t="s">
        <v>112</v>
      </c>
      <c r="H55" s="4"/>
      <c r="I55" s="3"/>
    </row>
    <row r="56" spans="1:10">
      <c r="A56" s="3"/>
      <c r="B56" s="3" t="s">
        <v>110</v>
      </c>
      <c r="C56" s="3" t="s">
        <v>115</v>
      </c>
      <c r="E56" s="3" t="s">
        <v>112</v>
      </c>
      <c r="H56" s="4"/>
      <c r="I56" s="3"/>
    </row>
    <row r="57" spans="1:10">
      <c r="B57" s="3" t="s">
        <v>116</v>
      </c>
      <c r="C57" s="3" t="s">
        <v>117</v>
      </c>
      <c r="D57" s="23"/>
      <c r="E57" s="3" t="s">
        <v>36</v>
      </c>
      <c r="F57" s="20"/>
      <c r="H57" s="4"/>
      <c r="I57" s="3"/>
    </row>
    <row r="58" spans="1:10">
      <c r="B58" s="3" t="s">
        <v>116</v>
      </c>
      <c r="C58" s="3" t="s">
        <v>119</v>
      </c>
      <c r="D58" s="23"/>
      <c r="E58" s="3" t="s">
        <v>36</v>
      </c>
      <c r="F58" s="20"/>
      <c r="H58" s="4"/>
      <c r="I58" s="3"/>
    </row>
    <row r="59" spans="1:10">
      <c r="A59" s="3" t="s">
        <v>24</v>
      </c>
      <c r="B59" s="3" t="s">
        <v>116</v>
      </c>
      <c r="C59" s="3" t="s">
        <v>120</v>
      </c>
      <c r="D59" s="23"/>
      <c r="E59" s="3" t="s">
        <v>36</v>
      </c>
      <c r="F59" s="20"/>
      <c r="H59" s="4"/>
      <c r="I59" s="3"/>
    </row>
    <row r="60" spans="1:10">
      <c r="A60" s="3" t="s">
        <v>24</v>
      </c>
      <c r="B60" s="3" t="s">
        <v>116</v>
      </c>
      <c r="C60" s="3" t="s">
        <v>121</v>
      </c>
      <c r="D60" s="23"/>
      <c r="E60" s="3" t="s">
        <v>36</v>
      </c>
      <c r="F60" s="20"/>
      <c r="H60" s="4"/>
      <c r="I60" s="3"/>
    </row>
    <row r="61" spans="1:10">
      <c r="A61" s="3" t="s">
        <v>24</v>
      </c>
      <c r="B61" s="3" t="s">
        <v>116</v>
      </c>
      <c r="C61" s="3" t="s">
        <v>122</v>
      </c>
      <c r="D61" s="24"/>
      <c r="E61" s="3" t="s">
        <v>36</v>
      </c>
      <c r="F61" s="20"/>
      <c r="H61" s="4"/>
      <c r="I61" s="3"/>
    </row>
    <row r="62" spans="1:10">
      <c r="A62" s="3"/>
      <c r="B62" s="3" t="s">
        <v>123</v>
      </c>
      <c r="C62" s="3" t="s">
        <v>124</v>
      </c>
      <c r="D62" s="12"/>
      <c r="E62" s="3" t="s">
        <v>125</v>
      </c>
      <c r="H62" s="15"/>
      <c r="I62" s="3"/>
    </row>
    <row r="63" spans="1:10">
      <c r="A63" s="3"/>
      <c r="B63" s="3" t="s">
        <v>123</v>
      </c>
      <c r="C63" s="3" t="s">
        <v>127</v>
      </c>
      <c r="D63" s="12"/>
      <c r="E63" s="3" t="s">
        <v>80</v>
      </c>
      <c r="H63" s="15"/>
      <c r="I63" s="3"/>
    </row>
    <row r="64" spans="1:10">
      <c r="A64" s="3" t="s">
        <v>24</v>
      </c>
      <c r="B64" s="3" t="s">
        <v>123</v>
      </c>
      <c r="C64" s="3" t="s">
        <v>128</v>
      </c>
      <c r="D64" s="12"/>
      <c r="E64" s="3" t="s">
        <v>125</v>
      </c>
      <c r="H64" s="15"/>
      <c r="I64" s="3"/>
    </row>
    <row r="65" spans="1:9">
      <c r="A65" s="3"/>
      <c r="B65" s="3" t="s">
        <v>123</v>
      </c>
      <c r="C65" s="3" t="s">
        <v>129</v>
      </c>
      <c r="D65" s="12"/>
      <c r="E65" s="3" t="s">
        <v>80</v>
      </c>
      <c r="H65" s="15"/>
      <c r="I65" s="3"/>
    </row>
    <row r="66" spans="1:9">
      <c r="A66" s="3"/>
      <c r="B66" s="3" t="s">
        <v>123</v>
      </c>
      <c r="C66" s="3" t="s">
        <v>130</v>
      </c>
      <c r="D66" s="12"/>
      <c r="E66" s="3" t="s">
        <v>131</v>
      </c>
      <c r="H66" s="15"/>
      <c r="I66" s="3"/>
    </row>
    <row r="67" spans="1:9">
      <c r="A67" s="3"/>
      <c r="B67" s="3" t="s">
        <v>123</v>
      </c>
      <c r="C67" s="3" t="s">
        <v>132</v>
      </c>
      <c r="D67" s="12"/>
      <c r="E67" s="3" t="s">
        <v>131</v>
      </c>
      <c r="H67" s="15"/>
      <c r="I67" s="3"/>
    </row>
    <row r="68" spans="1:9">
      <c r="A68" s="3"/>
      <c r="B68" s="3" t="s">
        <v>123</v>
      </c>
      <c r="C68" s="3" t="s">
        <v>133</v>
      </c>
      <c r="D68" s="12"/>
      <c r="E68" s="3" t="s">
        <v>131</v>
      </c>
      <c r="H68" s="15"/>
      <c r="I68" s="3"/>
    </row>
    <row r="69" spans="1:9">
      <c r="A69" s="3"/>
      <c r="B69" s="3" t="s">
        <v>123</v>
      </c>
      <c r="C69" s="3" t="s">
        <v>134</v>
      </c>
      <c r="D69" s="12"/>
      <c r="E69" s="3" t="s">
        <v>135</v>
      </c>
      <c r="H69" s="15"/>
      <c r="I69" s="3"/>
    </row>
    <row r="70" spans="1:9">
      <c r="A70" s="3"/>
      <c r="B70" s="3" t="s">
        <v>123</v>
      </c>
      <c r="C70" s="3" t="s">
        <v>136</v>
      </c>
      <c r="D70" s="12"/>
      <c r="E70" s="3" t="s">
        <v>135</v>
      </c>
      <c r="H70" s="15"/>
      <c r="I70" s="3"/>
    </row>
    <row r="71" spans="1:9">
      <c r="B71" s="3" t="s">
        <v>123</v>
      </c>
      <c r="C71" s="3" t="s">
        <v>138</v>
      </c>
      <c r="D71" s="12"/>
      <c r="E71" s="3" t="s">
        <v>135</v>
      </c>
      <c r="H71" s="15"/>
      <c r="I71" s="3"/>
    </row>
    <row r="72" spans="1:9">
      <c r="B72" s="3" t="s">
        <v>123</v>
      </c>
      <c r="C72" s="3" t="s">
        <v>139</v>
      </c>
      <c r="D72" s="12"/>
      <c r="E72" s="3" t="s">
        <v>135</v>
      </c>
      <c r="H72" s="15"/>
      <c r="I72" s="3"/>
    </row>
    <row r="73" spans="1:9">
      <c r="B73" s="3" t="s">
        <v>123</v>
      </c>
      <c r="C73" s="3" t="s">
        <v>140</v>
      </c>
      <c r="D73" s="12"/>
      <c r="E73" s="3" t="s">
        <v>135</v>
      </c>
      <c r="H73" s="15"/>
      <c r="I73" s="3"/>
    </row>
    <row r="74" spans="1:9">
      <c r="B74" s="3" t="s">
        <v>123</v>
      </c>
      <c r="C74" s="3" t="s">
        <v>142</v>
      </c>
      <c r="D74" s="12"/>
      <c r="E74" s="3" t="s">
        <v>135</v>
      </c>
      <c r="H74" s="15"/>
      <c r="I74" s="3"/>
    </row>
    <row r="75" spans="1:9">
      <c r="A75" s="3"/>
      <c r="B75" s="3" t="s">
        <v>123</v>
      </c>
      <c r="C75" s="3" t="s">
        <v>143</v>
      </c>
      <c r="D75" s="12"/>
      <c r="E75" s="3" t="s">
        <v>125</v>
      </c>
      <c r="H75" s="15"/>
      <c r="I75" s="3"/>
    </row>
    <row r="76" spans="1:9">
      <c r="A76" s="3"/>
      <c r="B76" s="3" t="s">
        <v>123</v>
      </c>
      <c r="C76" s="3" t="s">
        <v>144</v>
      </c>
      <c r="D76" s="12"/>
      <c r="E76" s="3" t="s">
        <v>125</v>
      </c>
      <c r="H76" s="15"/>
      <c r="I76" s="3"/>
    </row>
    <row r="77" spans="1:9">
      <c r="A77" s="3"/>
      <c r="B77" s="3" t="s">
        <v>123</v>
      </c>
      <c r="C77" s="3" t="s">
        <v>145</v>
      </c>
      <c r="D77" s="12"/>
      <c r="E77" s="3" t="s">
        <v>125</v>
      </c>
      <c r="H77" s="15"/>
      <c r="I77" s="3"/>
    </row>
    <row r="78" spans="1:9">
      <c r="A78" s="3" t="s">
        <v>24</v>
      </c>
      <c r="B78" s="3" t="s">
        <v>123</v>
      </c>
      <c r="C78" s="3" t="s">
        <v>146</v>
      </c>
      <c r="D78" s="12"/>
      <c r="E78" s="3" t="s">
        <v>125</v>
      </c>
      <c r="H78" s="15"/>
      <c r="I78" s="3"/>
    </row>
    <row r="79" spans="1:9">
      <c r="A79" s="3"/>
      <c r="B79" s="3" t="s">
        <v>148</v>
      </c>
      <c r="C79" s="3" t="s">
        <v>149</v>
      </c>
      <c r="D79" s="12"/>
      <c r="E79" s="3" t="s">
        <v>27</v>
      </c>
      <c r="H79" s="15"/>
      <c r="I79" s="3"/>
    </row>
    <row r="80" spans="1:9">
      <c r="A80" s="3"/>
      <c r="B80" s="3" t="s">
        <v>148</v>
      </c>
      <c r="C80" s="3" t="s">
        <v>150</v>
      </c>
      <c r="D80" s="12"/>
      <c r="E80" s="3" t="s">
        <v>27</v>
      </c>
      <c r="H80" s="15"/>
      <c r="I80" s="3"/>
    </row>
    <row r="81" spans="1:20">
      <c r="A81" s="3"/>
      <c r="B81" s="3" t="s">
        <v>148</v>
      </c>
      <c r="C81" s="3" t="s">
        <v>151</v>
      </c>
      <c r="D81" s="12"/>
      <c r="E81" s="3" t="s">
        <v>27</v>
      </c>
      <c r="H81" s="15"/>
      <c r="I81" s="3"/>
    </row>
    <row r="82" spans="1:20">
      <c r="A82" s="3"/>
      <c r="B82" s="3" t="s">
        <v>148</v>
      </c>
      <c r="C82" s="3" t="s">
        <v>152</v>
      </c>
      <c r="D82" s="12"/>
      <c r="E82" s="3" t="s">
        <v>27</v>
      </c>
      <c r="H82" s="15"/>
      <c r="I82" s="3"/>
    </row>
    <row r="83" spans="1:20">
      <c r="A83" s="3"/>
      <c r="B83" s="3" t="s">
        <v>153</v>
      </c>
      <c r="C83" s="3" t="s">
        <v>154</v>
      </c>
      <c r="D83" s="12"/>
      <c r="E83" s="3" t="s">
        <v>155</v>
      </c>
      <c r="H83" s="4"/>
      <c r="I83" s="3"/>
      <c r="K83" s="25"/>
      <c r="L83" s="25"/>
      <c r="M83" s="25"/>
      <c r="N83" s="25"/>
      <c r="O83" s="25"/>
      <c r="P83" s="25"/>
      <c r="Q83" s="25"/>
      <c r="R83" s="25"/>
      <c r="S83" s="25"/>
      <c r="T83" s="25"/>
    </row>
    <row r="84" spans="1:20">
      <c r="A84" s="3"/>
      <c r="B84" s="3" t="s">
        <v>153</v>
      </c>
      <c r="C84" s="3" t="s">
        <v>154</v>
      </c>
      <c r="D84" s="12"/>
      <c r="E84" s="3" t="s">
        <v>157</v>
      </c>
      <c r="H84" s="4"/>
      <c r="I84" s="3"/>
    </row>
    <row r="85" spans="1:20">
      <c r="A85" s="3"/>
      <c r="B85" s="3" t="s">
        <v>153</v>
      </c>
      <c r="C85" s="3" t="s">
        <v>158</v>
      </c>
      <c r="D85" s="12"/>
      <c r="E85" s="3" t="s">
        <v>155</v>
      </c>
      <c r="H85" s="4"/>
      <c r="I85" s="3"/>
    </row>
    <row r="86" spans="1:20">
      <c r="A86" s="3"/>
      <c r="B86" s="3" t="s">
        <v>153</v>
      </c>
      <c r="C86" s="3" t="s">
        <v>158</v>
      </c>
      <c r="D86" s="12"/>
      <c r="E86" s="3" t="s">
        <v>157</v>
      </c>
      <c r="H86" s="4"/>
      <c r="I86" s="3"/>
    </row>
    <row r="87" spans="1:20">
      <c r="A87" s="3"/>
      <c r="B87" s="3" t="s">
        <v>153</v>
      </c>
      <c r="C87" s="3" t="s">
        <v>159</v>
      </c>
      <c r="D87" s="12"/>
      <c r="E87" s="3" t="s">
        <v>155</v>
      </c>
      <c r="H87" s="4"/>
      <c r="I87" s="3"/>
    </row>
    <row r="88" spans="1:20">
      <c r="A88" s="3"/>
      <c r="B88" s="3" t="s">
        <v>153</v>
      </c>
      <c r="C88" s="3" t="s">
        <v>159</v>
      </c>
      <c r="D88" s="12"/>
      <c r="E88" s="3" t="s">
        <v>157</v>
      </c>
      <c r="H88" s="4"/>
      <c r="I88" s="3"/>
    </row>
    <row r="89" spans="1:20">
      <c r="A89" s="3"/>
      <c r="B89" s="3" t="s">
        <v>153</v>
      </c>
      <c r="C89" s="3" t="s">
        <v>160</v>
      </c>
      <c r="D89" s="12"/>
      <c r="E89" s="3" t="s">
        <v>155</v>
      </c>
      <c r="H89" s="4"/>
      <c r="I89" s="3"/>
      <c r="L89" s="26"/>
    </row>
    <row r="90" spans="1:20">
      <c r="A90" s="3"/>
      <c r="B90" s="3" t="s">
        <v>153</v>
      </c>
      <c r="C90" s="3" t="s">
        <v>160</v>
      </c>
      <c r="E90" s="3" t="s">
        <v>157</v>
      </c>
      <c r="H90" s="4"/>
      <c r="I90" s="3"/>
    </row>
    <row r="91" spans="1:20">
      <c r="A91" s="3"/>
      <c r="B91" s="3" t="s">
        <v>153</v>
      </c>
      <c r="C91" s="3" t="s">
        <v>161</v>
      </c>
      <c r="D91" s="12"/>
      <c r="E91" s="3" t="s">
        <v>157</v>
      </c>
      <c r="H91" s="4"/>
      <c r="I91" s="3"/>
    </row>
    <row r="92" spans="1:20">
      <c r="A92" s="3"/>
      <c r="B92" s="3" t="s">
        <v>153</v>
      </c>
      <c r="C92" s="3" t="s">
        <v>162</v>
      </c>
      <c r="D92" s="22"/>
      <c r="E92" s="3" t="s">
        <v>157</v>
      </c>
      <c r="H92" s="4"/>
      <c r="I92" s="3"/>
    </row>
    <row r="93" spans="1:20">
      <c r="A93" s="3"/>
      <c r="B93" s="3" t="s">
        <v>163</v>
      </c>
      <c r="C93" s="3" t="s">
        <v>164</v>
      </c>
      <c r="D93" s="12"/>
      <c r="E93" s="3" t="s">
        <v>165</v>
      </c>
      <c r="H93" s="4"/>
      <c r="I93" s="3"/>
    </row>
    <row r="94" spans="1:20">
      <c r="A94" s="3"/>
      <c r="B94" s="3" t="s">
        <v>163</v>
      </c>
      <c r="C94" s="3" t="s">
        <v>164</v>
      </c>
      <c r="D94" s="12"/>
      <c r="E94" s="3" t="s">
        <v>167</v>
      </c>
      <c r="H94" s="4"/>
      <c r="I94" s="3"/>
    </row>
    <row r="95" spans="1:20">
      <c r="A95" s="3"/>
      <c r="B95" s="3" t="s">
        <v>163</v>
      </c>
      <c r="C95" s="3" t="s">
        <v>168</v>
      </c>
      <c r="D95" s="12"/>
      <c r="E95" s="3" t="s">
        <v>165</v>
      </c>
      <c r="H95" s="4"/>
      <c r="I95" s="3"/>
    </row>
    <row r="96" spans="1:20">
      <c r="A96" s="3"/>
      <c r="B96" s="3" t="s">
        <v>163</v>
      </c>
      <c r="C96" s="3" t="s">
        <v>168</v>
      </c>
      <c r="D96" s="12"/>
      <c r="E96" s="3" t="s">
        <v>167</v>
      </c>
      <c r="H96" s="4"/>
      <c r="I96" s="3"/>
    </row>
    <row r="97" spans="1:14">
      <c r="A97" s="3"/>
      <c r="B97" s="3" t="s">
        <v>163</v>
      </c>
      <c r="C97" s="3" t="s">
        <v>170</v>
      </c>
      <c r="D97" s="12"/>
      <c r="E97" s="3" t="s">
        <v>165</v>
      </c>
      <c r="H97" s="4"/>
      <c r="I97" s="3"/>
    </row>
    <row r="98" spans="1:14">
      <c r="A98" s="3"/>
      <c r="B98" s="3" t="s">
        <v>163</v>
      </c>
      <c r="C98" s="3" t="s">
        <v>170</v>
      </c>
      <c r="D98" s="12"/>
      <c r="E98" s="3" t="s">
        <v>167</v>
      </c>
      <c r="H98" s="4"/>
      <c r="I98" s="3"/>
    </row>
    <row r="99" spans="1:14">
      <c r="A99" s="3"/>
      <c r="B99" s="3" t="s">
        <v>163</v>
      </c>
      <c r="C99" s="3" t="s">
        <v>172</v>
      </c>
      <c r="D99" s="12"/>
      <c r="E99" s="3" t="s">
        <v>165</v>
      </c>
      <c r="H99" s="4"/>
      <c r="I99" s="3"/>
    </row>
    <row r="100" spans="1:14">
      <c r="A100" s="3"/>
      <c r="B100" s="3" t="s">
        <v>163</v>
      </c>
      <c r="C100" s="3" t="s">
        <v>172</v>
      </c>
      <c r="E100" s="3" t="s">
        <v>167</v>
      </c>
      <c r="H100" s="4"/>
      <c r="I100" s="3"/>
    </row>
    <row r="101" spans="1:14">
      <c r="A101" s="3" t="s">
        <v>24</v>
      </c>
      <c r="B101" s="3" t="s">
        <v>174</v>
      </c>
      <c r="C101" s="3" t="s">
        <v>175</v>
      </c>
      <c r="D101" s="12"/>
      <c r="E101" s="3" t="s">
        <v>27</v>
      </c>
      <c r="H101" s="15"/>
      <c r="I101" s="3"/>
      <c r="M101" s="3"/>
      <c r="N101" s="3"/>
    </row>
    <row r="102" spans="1:14">
      <c r="A102" s="3" t="s">
        <v>24</v>
      </c>
      <c r="B102" s="3" t="s">
        <v>174</v>
      </c>
      <c r="C102" s="3" t="s">
        <v>178</v>
      </c>
      <c r="D102" s="12"/>
      <c r="E102" s="3" t="s">
        <v>27</v>
      </c>
      <c r="H102" s="15"/>
      <c r="I102" s="3"/>
    </row>
    <row r="103" spans="1:14">
      <c r="A103" s="3"/>
      <c r="B103" s="3" t="s">
        <v>174</v>
      </c>
      <c r="C103" s="3" t="s">
        <v>179</v>
      </c>
      <c r="E103" s="3" t="s">
        <v>180</v>
      </c>
      <c r="F103" s="14"/>
      <c r="H103" s="4"/>
      <c r="I103" s="3"/>
    </row>
    <row r="104" spans="1:14">
      <c r="A104" s="3"/>
      <c r="B104" s="3" t="s">
        <v>174</v>
      </c>
      <c r="C104" s="3" t="s">
        <v>182</v>
      </c>
      <c r="E104" s="3" t="s">
        <v>180</v>
      </c>
      <c r="F104" s="14"/>
      <c r="H104" s="4"/>
      <c r="I104" s="3"/>
      <c r="M104" s="3"/>
      <c r="N104" s="3"/>
    </row>
    <row r="105" spans="1:14">
      <c r="A105" s="3"/>
      <c r="B105" s="3" t="s">
        <v>174</v>
      </c>
      <c r="C105" s="3" t="s">
        <v>184</v>
      </c>
      <c r="D105" s="12"/>
      <c r="E105" s="3" t="s">
        <v>180</v>
      </c>
      <c r="F105" s="14"/>
      <c r="H105" s="4"/>
      <c r="I105" s="3"/>
    </row>
    <row r="106" spans="1:14">
      <c r="A106" s="3"/>
      <c r="B106" s="3" t="s">
        <v>174</v>
      </c>
      <c r="C106" s="3" t="s">
        <v>186</v>
      </c>
      <c r="E106" s="3" t="s">
        <v>187</v>
      </c>
      <c r="F106" s="14"/>
      <c r="H106" s="4"/>
      <c r="I106" s="3"/>
    </row>
    <row r="107" spans="1:14">
      <c r="A107" s="3"/>
      <c r="B107" s="3" t="s">
        <v>174</v>
      </c>
      <c r="C107" s="3" t="s">
        <v>189</v>
      </c>
      <c r="E107" s="3" t="s">
        <v>187</v>
      </c>
      <c r="F107" s="14"/>
      <c r="H107" s="4"/>
      <c r="I107" s="3"/>
    </row>
    <row r="108" spans="1:14">
      <c r="A108" s="3"/>
      <c r="B108" s="3" t="s">
        <v>174</v>
      </c>
      <c r="C108" s="3" t="s">
        <v>191</v>
      </c>
      <c r="D108" s="12"/>
      <c r="E108" s="3" t="s">
        <v>187</v>
      </c>
      <c r="F108" s="14"/>
      <c r="H108" s="4"/>
      <c r="I108" s="3"/>
    </row>
    <row r="109" spans="1:14">
      <c r="A109" s="3" t="s">
        <v>24</v>
      </c>
      <c r="B109" s="3" t="s">
        <v>193</v>
      </c>
      <c r="C109" s="3" t="s">
        <v>194</v>
      </c>
      <c r="D109" s="12"/>
      <c r="E109" s="3" t="s">
        <v>27</v>
      </c>
      <c r="H109" s="15"/>
      <c r="I109" s="3"/>
    </row>
    <row r="110" spans="1:14">
      <c r="A110" s="3" t="s">
        <v>24</v>
      </c>
      <c r="B110" s="3" t="s">
        <v>193</v>
      </c>
      <c r="C110" s="3" t="s">
        <v>195</v>
      </c>
      <c r="D110" s="12"/>
      <c r="E110" s="3" t="s">
        <v>27</v>
      </c>
      <c r="H110" s="15"/>
      <c r="I110" s="3"/>
    </row>
    <row r="111" spans="1:14">
      <c r="A111" s="3"/>
      <c r="B111" s="3" t="s">
        <v>193</v>
      </c>
      <c r="C111" s="3" t="s">
        <v>196</v>
      </c>
      <c r="E111" s="3" t="s">
        <v>80</v>
      </c>
      <c r="H111" s="15"/>
      <c r="I111" s="3"/>
    </row>
    <row r="112" spans="1:14">
      <c r="A112" s="3"/>
      <c r="B112" s="3" t="s">
        <v>193</v>
      </c>
      <c r="C112" s="3" t="s">
        <v>197</v>
      </c>
      <c r="E112" s="3" t="s">
        <v>80</v>
      </c>
      <c r="H112" s="15"/>
      <c r="I112" s="3"/>
    </row>
    <row r="113" spans="1:10">
      <c r="A113" s="3"/>
      <c r="B113" s="3" t="s">
        <v>193</v>
      </c>
      <c r="C113" s="3" t="s">
        <v>198</v>
      </c>
      <c r="E113" s="3" t="s">
        <v>80</v>
      </c>
      <c r="H113" s="15"/>
      <c r="I113" s="3"/>
    </row>
    <row r="114" spans="1:10">
      <c r="A114" s="3"/>
      <c r="B114" s="3" t="s">
        <v>193</v>
      </c>
      <c r="C114" s="3" t="s">
        <v>199</v>
      </c>
      <c r="E114" s="3" t="s">
        <v>80</v>
      </c>
      <c r="H114" s="15"/>
      <c r="I114" s="3"/>
    </row>
    <row r="115" spans="1:10">
      <c r="A115" s="3"/>
      <c r="B115" s="3" t="s">
        <v>193</v>
      </c>
      <c r="C115" s="3" t="s">
        <v>200</v>
      </c>
      <c r="E115" s="3" t="s">
        <v>80</v>
      </c>
      <c r="H115" s="15"/>
      <c r="I115" s="3"/>
    </row>
    <row r="116" spans="1:10">
      <c r="A116" s="3" t="s">
        <v>24</v>
      </c>
      <c r="B116" s="3" t="s">
        <v>201</v>
      </c>
      <c r="C116" s="3" t="s">
        <v>202</v>
      </c>
      <c r="D116" s="12"/>
      <c r="E116" s="3" t="s">
        <v>27</v>
      </c>
      <c r="H116" s="15"/>
      <c r="I116" s="3"/>
    </row>
    <row r="117" spans="1:10">
      <c r="A117" s="3" t="s">
        <v>24</v>
      </c>
      <c r="B117" s="3" t="s">
        <v>201</v>
      </c>
      <c r="C117" s="3" t="s">
        <v>203</v>
      </c>
      <c r="D117" s="12"/>
      <c r="E117" s="3" t="s">
        <v>27</v>
      </c>
      <c r="H117" s="15"/>
      <c r="I117" s="3"/>
    </row>
    <row r="118" spans="1:10">
      <c r="A118" s="3"/>
      <c r="B118" s="3" t="s">
        <v>204</v>
      </c>
      <c r="C118" s="3" t="s">
        <v>205</v>
      </c>
      <c r="D118" s="12"/>
      <c r="E118" s="3" t="s">
        <v>27</v>
      </c>
      <c r="H118" s="15"/>
      <c r="I118" s="3"/>
    </row>
    <row r="119" spans="1:10">
      <c r="A119" s="3" t="s">
        <v>24</v>
      </c>
      <c r="B119" s="3" t="s">
        <v>207</v>
      </c>
      <c r="C119" s="3" t="s">
        <v>208</v>
      </c>
      <c r="D119" s="12"/>
      <c r="E119" s="3" t="s">
        <v>209</v>
      </c>
      <c r="H119" s="19"/>
      <c r="I119" s="16"/>
      <c r="J119" s="27"/>
    </row>
    <row r="120" spans="1:10">
      <c r="A120" s="3" t="s">
        <v>24</v>
      </c>
      <c r="B120" s="3" t="s">
        <v>210</v>
      </c>
      <c r="C120" s="3" t="s">
        <v>208</v>
      </c>
      <c r="D120" s="12"/>
      <c r="E120" s="3" t="s">
        <v>209</v>
      </c>
      <c r="H120" s="19"/>
      <c r="I120" s="16"/>
      <c r="J120" s="27"/>
    </row>
    <row r="121" spans="1:10">
      <c r="A121" s="3" t="s">
        <v>24</v>
      </c>
      <c r="B121" s="3" t="s">
        <v>211</v>
      </c>
      <c r="C121" s="3" t="s">
        <v>212</v>
      </c>
      <c r="D121" s="12"/>
      <c r="E121" s="3" t="s">
        <v>209</v>
      </c>
      <c r="H121" s="15"/>
      <c r="I121" s="3"/>
    </row>
    <row r="122" spans="1:10">
      <c r="A122" s="3" t="s">
        <v>24</v>
      </c>
      <c r="B122" s="3" t="s">
        <v>213</v>
      </c>
      <c r="C122" s="3" t="s">
        <v>212</v>
      </c>
      <c r="D122" s="12"/>
      <c r="E122" s="3" t="s">
        <v>209</v>
      </c>
      <c r="H122" s="15"/>
      <c r="I122" s="3"/>
    </row>
    <row r="123" spans="1:10">
      <c r="A123" s="3" t="s">
        <v>24</v>
      </c>
      <c r="B123" s="3" t="s">
        <v>214</v>
      </c>
      <c r="C123" s="3" t="s">
        <v>215</v>
      </c>
      <c r="D123" s="12"/>
      <c r="H123" s="15"/>
      <c r="I123" s="3"/>
    </row>
    <row r="124" spans="1:10">
      <c r="A124" s="3"/>
      <c r="B124" s="3" t="s">
        <v>217</v>
      </c>
      <c r="C124" s="3" t="s">
        <v>218</v>
      </c>
      <c r="E124" s="3" t="s">
        <v>36</v>
      </c>
      <c r="H124" s="4"/>
      <c r="I124" s="3"/>
    </row>
    <row r="125" spans="1:10">
      <c r="A125" s="3"/>
      <c r="B125" s="3" t="s">
        <v>217</v>
      </c>
      <c r="C125" s="3" t="s">
        <v>219</v>
      </c>
      <c r="D125" s="12"/>
      <c r="H125" s="15"/>
      <c r="I125" s="3"/>
    </row>
    <row r="126" spans="1:10">
      <c r="A126" s="3"/>
      <c r="B126" s="3" t="s">
        <v>221</v>
      </c>
      <c r="C126" s="3" t="s">
        <v>219</v>
      </c>
      <c r="D126" s="12"/>
      <c r="E126" s="3"/>
      <c r="H126" s="15"/>
      <c r="I126" s="3"/>
    </row>
    <row r="127" spans="1:10">
      <c r="A127" s="3"/>
      <c r="B127" s="3" t="s">
        <v>222</v>
      </c>
      <c r="C127" s="3" t="s">
        <v>223</v>
      </c>
      <c r="E127" s="3" t="s">
        <v>209</v>
      </c>
      <c r="H127" s="4"/>
      <c r="I127" s="3"/>
    </row>
    <row r="128" spans="1:10">
      <c r="A128" s="3"/>
      <c r="B128" s="3" t="s">
        <v>222</v>
      </c>
      <c r="C128" s="3" t="s">
        <v>225</v>
      </c>
      <c r="E128" s="3" t="s">
        <v>209</v>
      </c>
      <c r="H128" s="4"/>
      <c r="I128" s="3"/>
    </row>
    <row r="129" spans="1:9">
      <c r="A129" s="3"/>
      <c r="B129" s="3" t="s">
        <v>222</v>
      </c>
      <c r="C129" s="3" t="s">
        <v>226</v>
      </c>
      <c r="E129" s="3" t="s">
        <v>209</v>
      </c>
      <c r="H129" s="4"/>
      <c r="I129" s="3"/>
    </row>
    <row r="130" spans="1:9">
      <c r="A130" s="3"/>
      <c r="B130" s="3" t="s">
        <v>222</v>
      </c>
      <c r="C130" s="3" t="s">
        <v>227</v>
      </c>
      <c r="E130" s="3" t="s">
        <v>209</v>
      </c>
      <c r="H130" s="4"/>
      <c r="I130" s="3"/>
    </row>
    <row r="131" spans="1:9">
      <c r="A131" s="3"/>
      <c r="B131" s="3" t="s">
        <v>222</v>
      </c>
      <c r="C131" s="3" t="s">
        <v>228</v>
      </c>
      <c r="E131" s="3" t="s">
        <v>209</v>
      </c>
      <c r="H131" s="4"/>
      <c r="I131" s="3"/>
    </row>
    <row r="132" spans="1:9">
      <c r="A132" s="3"/>
      <c r="B132" s="3" t="s">
        <v>222</v>
      </c>
      <c r="C132" s="3" t="s">
        <v>229</v>
      </c>
      <c r="E132" s="3" t="s">
        <v>209</v>
      </c>
      <c r="H132" s="4"/>
      <c r="I132" s="3"/>
    </row>
    <row r="133" spans="1:9">
      <c r="A133" s="3" t="s">
        <v>24</v>
      </c>
      <c r="B133" s="16" t="s">
        <v>230</v>
      </c>
      <c r="C133" s="3" t="s">
        <v>231</v>
      </c>
      <c r="E133" s="3" t="s">
        <v>209</v>
      </c>
      <c r="H133" s="4"/>
      <c r="I133" s="3"/>
    </row>
    <row r="134" spans="1:9">
      <c r="A134" s="3"/>
      <c r="B134" s="3" t="s">
        <v>233</v>
      </c>
      <c r="C134" s="3" t="s">
        <v>234</v>
      </c>
      <c r="D134" s="12"/>
      <c r="H134" s="48"/>
      <c r="I134" s="3"/>
    </row>
    <row r="135" spans="1:9">
      <c r="A135" s="3"/>
      <c r="B135" s="3" t="s">
        <v>236</v>
      </c>
      <c r="C135" s="3" t="s">
        <v>237</v>
      </c>
      <c r="D135" s="12"/>
      <c r="E135" s="3" t="s">
        <v>238</v>
      </c>
      <c r="H135" s="48"/>
      <c r="I135" s="3"/>
    </row>
    <row r="136" spans="1:9">
      <c r="A136" s="3"/>
      <c r="B136" s="3" t="s">
        <v>239</v>
      </c>
      <c r="C136" s="3" t="s">
        <v>240</v>
      </c>
      <c r="D136" s="12"/>
      <c r="E136" s="3" t="s">
        <v>238</v>
      </c>
      <c r="H136" s="48"/>
      <c r="I136" s="3"/>
    </row>
    <row r="137" spans="1:9">
      <c r="A137" s="3"/>
      <c r="B137" s="3" t="s">
        <v>241</v>
      </c>
      <c r="C137" s="3" t="s">
        <v>240</v>
      </c>
      <c r="D137" s="12"/>
      <c r="E137" s="3" t="s">
        <v>238</v>
      </c>
      <c r="H137" s="48"/>
      <c r="I137" s="3"/>
    </row>
    <row r="138" spans="1:9">
      <c r="A138" s="3" t="s">
        <v>24</v>
      </c>
      <c r="B138" s="3" t="s">
        <v>242</v>
      </c>
      <c r="C138" s="3" t="s">
        <v>243</v>
      </c>
      <c r="D138" s="12"/>
      <c r="E138" s="3" t="s">
        <v>244</v>
      </c>
      <c r="H138" s="48"/>
      <c r="I138" s="3"/>
    </row>
    <row r="139" spans="1:9">
      <c r="A139" s="3" t="s">
        <v>24</v>
      </c>
      <c r="B139" s="3" t="s">
        <v>245</v>
      </c>
      <c r="C139" s="3" t="s">
        <v>246</v>
      </c>
      <c r="D139" s="12"/>
      <c r="E139" s="3" t="s">
        <v>244</v>
      </c>
      <c r="H139" s="48"/>
      <c r="I139" s="3"/>
    </row>
    <row r="140" spans="1:9">
      <c r="A140" s="3" t="s">
        <v>24</v>
      </c>
      <c r="B140" s="3" t="s">
        <v>245</v>
      </c>
      <c r="C140" s="3" t="s">
        <v>247</v>
      </c>
      <c r="D140" s="12"/>
      <c r="E140" s="3" t="s">
        <v>244</v>
      </c>
      <c r="H140" s="48"/>
      <c r="I140" s="3"/>
    </row>
    <row r="141" spans="1:9">
      <c r="B141" s="3" t="s">
        <v>245</v>
      </c>
      <c r="C141" s="3" t="s">
        <v>248</v>
      </c>
      <c r="D141" s="12"/>
      <c r="E141" s="3" t="s">
        <v>244</v>
      </c>
      <c r="H141" s="48"/>
      <c r="I141" s="3"/>
    </row>
    <row r="142" spans="1:9">
      <c r="A142" s="3" t="s">
        <v>24</v>
      </c>
      <c r="B142" s="3" t="s">
        <v>249</v>
      </c>
      <c r="C142" s="3" t="s">
        <v>250</v>
      </c>
      <c r="D142" s="18"/>
      <c r="E142" s="3" t="s">
        <v>244</v>
      </c>
      <c r="H142" s="48"/>
      <c r="I142" s="3"/>
    </row>
    <row r="143" spans="1:9">
      <c r="A143" s="3" t="s">
        <v>24</v>
      </c>
      <c r="B143" s="3" t="s">
        <v>251</v>
      </c>
      <c r="C143" s="3" t="s">
        <v>250</v>
      </c>
      <c r="D143" s="18"/>
      <c r="E143" s="3" t="s">
        <v>244</v>
      </c>
      <c r="H143" s="48"/>
      <c r="I143" s="3"/>
    </row>
    <row r="144" spans="1:9">
      <c r="A144" s="3" t="s">
        <v>24</v>
      </c>
      <c r="B144" s="3" t="s">
        <v>252</v>
      </c>
      <c r="C144" s="3" t="s">
        <v>250</v>
      </c>
      <c r="D144" s="18"/>
      <c r="E144" s="3" t="s">
        <v>244</v>
      </c>
      <c r="H144" s="48"/>
      <c r="I144" s="3"/>
    </row>
    <row r="145" spans="1:11">
      <c r="A145" s="3" t="s">
        <v>24</v>
      </c>
      <c r="B145" s="3" t="s">
        <v>253</v>
      </c>
      <c r="C145" s="3" t="s">
        <v>250</v>
      </c>
      <c r="D145" s="18"/>
      <c r="E145" s="3" t="s">
        <v>244</v>
      </c>
      <c r="H145" s="48"/>
      <c r="I145" s="3"/>
    </row>
    <row r="146" spans="1:11">
      <c r="A146" s="3"/>
      <c r="B146" s="3" t="s">
        <v>254</v>
      </c>
      <c r="C146" s="3" t="s">
        <v>255</v>
      </c>
      <c r="D146" s="24"/>
      <c r="E146" s="3" t="s">
        <v>256</v>
      </c>
      <c r="H146" s="48"/>
      <c r="I146" s="3"/>
    </row>
    <row r="147" spans="1:11">
      <c r="A147" s="3"/>
      <c r="B147" s="3" t="s">
        <v>254</v>
      </c>
      <c r="C147" s="3" t="s">
        <v>257</v>
      </c>
      <c r="D147" s="24"/>
      <c r="E147" s="3" t="s">
        <v>256</v>
      </c>
      <c r="H147" s="48"/>
      <c r="I147" s="3"/>
      <c r="K147" s="13"/>
    </row>
    <row r="148" spans="1:11">
      <c r="A148" s="3"/>
      <c r="B148" s="3" t="s">
        <v>254</v>
      </c>
      <c r="C148" s="3" t="s">
        <v>259</v>
      </c>
      <c r="D148" s="12"/>
      <c r="E148" s="3" t="s">
        <v>256</v>
      </c>
      <c r="H148" s="48"/>
      <c r="I148" s="3"/>
    </row>
    <row r="149" spans="1:11">
      <c r="A149" s="3"/>
      <c r="B149" s="3" t="s">
        <v>254</v>
      </c>
      <c r="C149" s="3" t="s">
        <v>260</v>
      </c>
      <c r="D149" s="12"/>
      <c r="E149" s="3" t="s">
        <v>256</v>
      </c>
      <c r="H149" s="48"/>
      <c r="I149" s="3"/>
    </row>
    <row r="150" spans="1:11">
      <c r="A150" s="3"/>
      <c r="B150" s="3" t="s">
        <v>254</v>
      </c>
      <c r="C150" s="3" t="s">
        <v>261</v>
      </c>
      <c r="D150" s="12"/>
      <c r="E150" s="3" t="s">
        <v>256</v>
      </c>
      <c r="H150" s="48"/>
      <c r="I150" s="3"/>
    </row>
    <row r="151" spans="1:11">
      <c r="B151" s="3" t="s">
        <v>254</v>
      </c>
      <c r="C151" s="3" t="s">
        <v>262</v>
      </c>
      <c r="D151" s="12"/>
      <c r="E151" s="3" t="s">
        <v>256</v>
      </c>
      <c r="H151" s="48"/>
      <c r="I151" s="3"/>
    </row>
    <row r="152" spans="1:11">
      <c r="A152" s="3"/>
      <c r="B152" s="3" t="s">
        <v>254</v>
      </c>
      <c r="C152" s="3" t="s">
        <v>263</v>
      </c>
      <c r="D152" s="12"/>
      <c r="E152" s="3" t="s">
        <v>256</v>
      </c>
      <c r="H152" s="48"/>
      <c r="I152" s="3"/>
    </row>
    <row r="153" spans="1:11">
      <c r="A153" s="3"/>
      <c r="B153" s="3" t="s">
        <v>264</v>
      </c>
      <c r="C153" s="3" t="s">
        <v>265</v>
      </c>
      <c r="D153" s="28"/>
      <c r="E153" s="3" t="s">
        <v>256</v>
      </c>
      <c r="H153" s="48"/>
      <c r="I153" s="3"/>
    </row>
    <row r="154" spans="1:11">
      <c r="A154" s="3"/>
      <c r="B154" s="3" t="s">
        <v>264</v>
      </c>
      <c r="C154" s="3" t="s">
        <v>266</v>
      </c>
      <c r="D154" s="28"/>
      <c r="E154" s="3" t="s">
        <v>256</v>
      </c>
      <c r="H154" s="48"/>
      <c r="I154" s="3"/>
      <c r="K154" s="13"/>
    </row>
    <row r="155" spans="1:11">
      <c r="A155" s="3"/>
      <c r="B155" s="3" t="s">
        <v>264</v>
      </c>
      <c r="C155" s="3" t="s">
        <v>267</v>
      </c>
      <c r="D155" s="29"/>
      <c r="E155" s="3" t="s">
        <v>256</v>
      </c>
      <c r="H155" s="48"/>
      <c r="I155" s="3"/>
    </row>
    <row r="156" spans="1:11">
      <c r="A156" s="3"/>
      <c r="B156" s="3" t="s">
        <v>264</v>
      </c>
      <c r="C156" s="3" t="s">
        <v>268</v>
      </c>
      <c r="D156" s="29"/>
      <c r="E156" s="3" t="s">
        <v>256</v>
      </c>
      <c r="H156" s="48"/>
      <c r="I156" s="3"/>
    </row>
    <row r="157" spans="1:11">
      <c r="A157" s="3"/>
      <c r="B157" s="3" t="s">
        <v>264</v>
      </c>
      <c r="C157" s="3" t="s">
        <v>269</v>
      </c>
      <c r="D157" s="29"/>
      <c r="E157" s="3" t="s">
        <v>256</v>
      </c>
      <c r="H157" s="48"/>
      <c r="I157" s="3"/>
    </row>
    <row r="158" spans="1:11">
      <c r="B158" s="3" t="s">
        <v>264</v>
      </c>
      <c r="C158" s="3" t="s">
        <v>270</v>
      </c>
      <c r="D158" s="29"/>
      <c r="E158" s="3" t="s">
        <v>256</v>
      </c>
      <c r="H158" s="48"/>
      <c r="I158" s="3"/>
    </row>
    <row r="159" spans="1:11">
      <c r="A159" s="3"/>
      <c r="B159" s="3" t="s">
        <v>264</v>
      </c>
      <c r="C159" s="3" t="s">
        <v>271</v>
      </c>
      <c r="D159" s="29"/>
      <c r="E159" s="3" t="s">
        <v>256</v>
      </c>
      <c r="H159" s="48"/>
      <c r="I159" s="3"/>
    </row>
    <row r="160" spans="1:11">
      <c r="A160" s="3"/>
      <c r="B160" s="3" t="s">
        <v>272</v>
      </c>
      <c r="C160" s="3" t="s">
        <v>273</v>
      </c>
      <c r="D160" s="28"/>
      <c r="E160" s="3" t="s">
        <v>256</v>
      </c>
      <c r="H160" s="48"/>
      <c r="I160" s="3"/>
    </row>
    <row r="161" spans="1:11">
      <c r="A161" s="3"/>
      <c r="B161" s="3" t="s">
        <v>272</v>
      </c>
      <c r="C161" s="3" t="s">
        <v>274</v>
      </c>
      <c r="D161" s="28"/>
      <c r="E161" s="3" t="s">
        <v>256</v>
      </c>
      <c r="H161" s="48"/>
      <c r="I161" s="3"/>
      <c r="K161" s="13"/>
    </row>
    <row r="162" spans="1:11">
      <c r="A162" s="3"/>
      <c r="B162" s="3" t="s">
        <v>272</v>
      </c>
      <c r="C162" s="3" t="s">
        <v>275</v>
      </c>
      <c r="D162" s="29"/>
      <c r="E162" s="3" t="s">
        <v>256</v>
      </c>
      <c r="H162" s="48"/>
      <c r="I162" s="3"/>
    </row>
    <row r="163" spans="1:11">
      <c r="A163" s="3"/>
      <c r="B163" s="3" t="s">
        <v>272</v>
      </c>
      <c r="C163" s="3" t="s">
        <v>276</v>
      </c>
      <c r="D163" s="29"/>
      <c r="E163" s="3" t="s">
        <v>256</v>
      </c>
      <c r="H163" s="48"/>
      <c r="I163" s="3"/>
    </row>
    <row r="164" spans="1:11">
      <c r="A164" s="3"/>
      <c r="B164" s="3" t="s">
        <v>272</v>
      </c>
      <c r="C164" s="3" t="s">
        <v>277</v>
      </c>
      <c r="D164" s="29"/>
      <c r="E164" s="3" t="s">
        <v>256</v>
      </c>
      <c r="H164" s="48"/>
      <c r="I164" s="3"/>
    </row>
    <row r="165" spans="1:11">
      <c r="B165" s="3" t="s">
        <v>272</v>
      </c>
      <c r="C165" s="3" t="s">
        <v>278</v>
      </c>
      <c r="D165" s="29"/>
      <c r="E165" s="3" t="s">
        <v>256</v>
      </c>
      <c r="H165" s="48"/>
      <c r="I165" s="3"/>
    </row>
    <row r="166" spans="1:11">
      <c r="A166" s="3"/>
      <c r="B166" s="3" t="s">
        <v>272</v>
      </c>
      <c r="C166" s="3" t="s">
        <v>279</v>
      </c>
      <c r="D166" s="29"/>
      <c r="E166" s="3" t="s">
        <v>256</v>
      </c>
      <c r="H166" s="48"/>
      <c r="I166" s="3"/>
    </row>
    <row r="167" spans="1:11">
      <c r="A167" s="3"/>
      <c r="B167" s="3" t="s">
        <v>280</v>
      </c>
      <c r="C167" s="3" t="s">
        <v>281</v>
      </c>
      <c r="D167" s="29"/>
      <c r="E167" s="3" t="s">
        <v>282</v>
      </c>
      <c r="H167" s="48"/>
      <c r="I167" s="3"/>
    </row>
    <row r="168" spans="1:11">
      <c r="A168" s="3"/>
      <c r="B168" s="3" t="s">
        <v>283</v>
      </c>
      <c r="C168" s="3" t="s">
        <v>284</v>
      </c>
      <c r="D168" s="29"/>
      <c r="E168" s="3" t="s">
        <v>285</v>
      </c>
      <c r="H168" s="48"/>
      <c r="I168" s="3"/>
    </row>
    <row r="169" spans="1:11">
      <c r="A169" s="3"/>
      <c r="B169" s="3" t="s">
        <v>286</v>
      </c>
      <c r="C169" s="3" t="s">
        <v>284</v>
      </c>
      <c r="D169" s="29"/>
      <c r="E169" s="3" t="s">
        <v>285</v>
      </c>
      <c r="H169" s="48"/>
      <c r="I169" s="3"/>
    </row>
    <row r="170" spans="1:11">
      <c r="A170" s="3"/>
      <c r="B170" s="3" t="s">
        <v>287</v>
      </c>
      <c r="C170" s="3" t="s">
        <v>284</v>
      </c>
      <c r="D170" s="29"/>
      <c r="E170" s="3" t="s">
        <v>285</v>
      </c>
      <c r="H170" s="48"/>
      <c r="I170" s="3"/>
    </row>
    <row r="171" spans="1:11">
      <c r="A171" s="3"/>
      <c r="B171" s="3" t="s">
        <v>288</v>
      </c>
      <c r="C171" s="3" t="s">
        <v>284</v>
      </c>
      <c r="D171" s="29"/>
      <c r="E171" s="3" t="s">
        <v>285</v>
      </c>
      <c r="H171" s="48"/>
      <c r="I171" s="3"/>
    </row>
    <row r="172" spans="1:11">
      <c r="A172" s="3"/>
      <c r="B172" s="3" t="s">
        <v>289</v>
      </c>
      <c r="C172" s="3" t="s">
        <v>290</v>
      </c>
      <c r="D172" s="29"/>
      <c r="E172" s="3" t="s">
        <v>291</v>
      </c>
      <c r="H172" s="48"/>
      <c r="I172" s="3"/>
    </row>
    <row r="173" spans="1:11">
      <c r="A173" s="3"/>
      <c r="B173" s="3" t="s">
        <v>292</v>
      </c>
      <c r="C173" s="3" t="s">
        <v>293</v>
      </c>
      <c r="D173" s="29"/>
      <c r="E173" s="3" t="s">
        <v>125</v>
      </c>
      <c r="H173" s="48"/>
      <c r="I173" s="3"/>
    </row>
    <row r="174" spans="1:11">
      <c r="A174" s="3"/>
      <c r="B174" s="3" t="s">
        <v>292</v>
      </c>
      <c r="C174" s="3" t="s">
        <v>295</v>
      </c>
      <c r="D174" s="29"/>
      <c r="E174" s="3" t="s">
        <v>125</v>
      </c>
      <c r="H174" s="48"/>
      <c r="I174" s="3"/>
    </row>
    <row r="175" spans="1:11">
      <c r="A175" s="3"/>
      <c r="B175" s="3" t="s">
        <v>292</v>
      </c>
      <c r="C175" s="3" t="s">
        <v>297</v>
      </c>
      <c r="D175" s="29"/>
      <c r="E175" s="3" t="s">
        <v>125</v>
      </c>
      <c r="H175" s="48"/>
      <c r="I175" s="3"/>
    </row>
    <row r="176" spans="1:11">
      <c r="A176" s="3"/>
      <c r="B176" s="3" t="s">
        <v>299</v>
      </c>
      <c r="C176" s="3" t="s">
        <v>300</v>
      </c>
      <c r="D176" s="30"/>
      <c r="E176" s="3" t="s">
        <v>27</v>
      </c>
      <c r="H176" s="48"/>
      <c r="I176" s="3"/>
    </row>
    <row r="177" spans="1:9">
      <c r="A177" s="3"/>
      <c r="B177" s="3" t="s">
        <v>301</v>
      </c>
      <c r="C177" s="3" t="s">
        <v>300</v>
      </c>
      <c r="D177" s="29"/>
      <c r="E177" s="3" t="s">
        <v>27</v>
      </c>
      <c r="H177" s="48"/>
      <c r="I177" s="3"/>
    </row>
    <row r="178" spans="1:9">
      <c r="A178" s="3"/>
      <c r="B178" s="3" t="s">
        <v>302</v>
      </c>
      <c r="C178" s="3" t="s">
        <v>300</v>
      </c>
      <c r="D178" s="29"/>
      <c r="E178" s="15"/>
      <c r="F178" s="15"/>
      <c r="G178" s="15"/>
      <c r="H178" s="48"/>
      <c r="I178" s="3"/>
    </row>
    <row r="179" spans="1:9">
      <c r="A179" s="3"/>
      <c r="B179" s="3" t="s">
        <v>304</v>
      </c>
      <c r="C179" s="3" t="s">
        <v>305</v>
      </c>
      <c r="D179" s="29"/>
      <c r="E179" s="3" t="s">
        <v>306</v>
      </c>
      <c r="H179" s="48"/>
      <c r="I179" s="3"/>
    </row>
    <row r="180" spans="1:9">
      <c r="A180" s="3"/>
      <c r="B180" s="3" t="s">
        <v>304</v>
      </c>
      <c r="C180" s="3" t="s">
        <v>307</v>
      </c>
      <c r="D180" s="29"/>
      <c r="E180" s="3" t="s">
        <v>309</v>
      </c>
      <c r="H180" s="48"/>
      <c r="I180" s="3"/>
    </row>
    <row r="181" spans="1:9">
      <c r="A181" s="3" t="s">
        <v>24</v>
      </c>
      <c r="B181" s="3" t="s">
        <v>304</v>
      </c>
      <c r="C181" s="3" t="s">
        <v>310</v>
      </c>
      <c r="D181" s="29"/>
      <c r="E181" s="3" t="s">
        <v>306</v>
      </c>
      <c r="H181" s="48"/>
      <c r="I181" s="3"/>
    </row>
    <row r="182" spans="1:9">
      <c r="A182" s="3"/>
      <c r="B182" s="3" t="s">
        <v>311</v>
      </c>
      <c r="C182" s="3" t="s">
        <v>312</v>
      </c>
      <c r="D182" s="29"/>
      <c r="E182" s="3" t="s">
        <v>314</v>
      </c>
      <c r="H182" s="48"/>
      <c r="I182" s="3"/>
    </row>
    <row r="183" spans="1:9">
      <c r="A183" s="3"/>
      <c r="B183" s="3" t="s">
        <v>311</v>
      </c>
      <c r="C183" s="3" t="s">
        <v>315</v>
      </c>
      <c r="D183" s="29"/>
      <c r="E183" s="3" t="s">
        <v>314</v>
      </c>
      <c r="H183" s="48"/>
      <c r="I183" s="3"/>
    </row>
    <row r="184" spans="1:9">
      <c r="A184" s="3"/>
      <c r="B184" s="3" t="s">
        <v>311</v>
      </c>
      <c r="C184" s="3" t="s">
        <v>317</v>
      </c>
      <c r="D184" s="29"/>
      <c r="E184" s="3" t="s">
        <v>314</v>
      </c>
      <c r="H184" s="48"/>
      <c r="I184" s="3"/>
    </row>
    <row r="185" spans="1:9">
      <c r="A185" s="3"/>
      <c r="B185" s="3" t="s">
        <v>319</v>
      </c>
      <c r="C185" s="3" t="s">
        <v>320</v>
      </c>
      <c r="D185" s="29"/>
      <c r="E185" s="3" t="s">
        <v>314</v>
      </c>
      <c r="H185" s="48"/>
      <c r="I185" s="3"/>
    </row>
    <row r="186" spans="1:9">
      <c r="A186" s="3"/>
      <c r="B186" s="3" t="s">
        <v>321</v>
      </c>
      <c r="C186" s="3" t="s">
        <v>322</v>
      </c>
      <c r="D186" s="30"/>
      <c r="E186" s="3" t="s">
        <v>209</v>
      </c>
      <c r="I186" s="3"/>
    </row>
    <row r="187" spans="1:9">
      <c r="A187" s="3"/>
      <c r="B187" s="3" t="s">
        <v>324</v>
      </c>
      <c r="C187" s="3" t="s">
        <v>322</v>
      </c>
      <c r="D187" s="31"/>
      <c r="I187" s="3"/>
    </row>
    <row r="188" spans="1:9">
      <c r="A188" s="3"/>
      <c r="B188" s="3" t="s">
        <v>326</v>
      </c>
      <c r="C188" s="3" t="s">
        <v>327</v>
      </c>
      <c r="D188" s="30"/>
      <c r="E188" s="3" t="s">
        <v>209</v>
      </c>
      <c r="I188" s="3"/>
    </row>
    <row r="189" spans="1:9">
      <c r="A189" s="3"/>
      <c r="B189" s="3" t="s">
        <v>328</v>
      </c>
      <c r="C189" s="3" t="s">
        <v>329</v>
      </c>
      <c r="D189" s="12"/>
      <c r="I189" s="3"/>
    </row>
    <row r="190" spans="1:9">
      <c r="A190" s="3"/>
      <c r="B190" s="3" t="s">
        <v>331</v>
      </c>
      <c r="C190" s="3" t="s">
        <v>332</v>
      </c>
      <c r="D190" s="29"/>
      <c r="E190" s="3" t="s">
        <v>209</v>
      </c>
      <c r="H190" s="48"/>
      <c r="I190" s="3"/>
    </row>
    <row r="191" spans="1:9">
      <c r="A191" s="3"/>
      <c r="B191" s="3" t="s">
        <v>334</v>
      </c>
      <c r="C191" s="3" t="s">
        <v>335</v>
      </c>
      <c r="D191" s="30"/>
      <c r="E191" s="3" t="s">
        <v>336</v>
      </c>
      <c r="I191" s="3"/>
    </row>
    <row r="192" spans="1:9">
      <c r="A192" s="3"/>
      <c r="B192" s="3" t="s">
        <v>337</v>
      </c>
      <c r="C192" s="3" t="s">
        <v>338</v>
      </c>
      <c r="D192" s="29"/>
      <c r="E192" s="3" t="s">
        <v>340</v>
      </c>
      <c r="I192" s="3"/>
    </row>
    <row r="193" spans="1:13">
      <c r="A193" s="3"/>
      <c r="B193" s="3" t="s">
        <v>341</v>
      </c>
      <c r="C193" s="3" t="s">
        <v>342</v>
      </c>
      <c r="D193" s="30"/>
      <c r="E193" s="3" t="s">
        <v>343</v>
      </c>
      <c r="I193" s="3"/>
    </row>
    <row r="194" spans="1:13">
      <c r="A194" s="3"/>
      <c r="B194" s="401" t="s">
        <v>344</v>
      </c>
      <c r="C194" s="3" t="s">
        <v>345</v>
      </c>
      <c r="D194" s="29"/>
      <c r="E194" s="3" t="s">
        <v>118</v>
      </c>
      <c r="H194" s="48"/>
      <c r="I194" s="3"/>
    </row>
    <row r="195" spans="1:13">
      <c r="A195" s="3"/>
      <c r="B195" s="399"/>
      <c r="C195" s="3" t="s">
        <v>346</v>
      </c>
      <c r="D195" s="29"/>
      <c r="E195" s="3" t="s">
        <v>118</v>
      </c>
      <c r="H195" s="48"/>
      <c r="I195" s="3"/>
    </row>
    <row r="196" spans="1:13">
      <c r="A196" s="3"/>
      <c r="B196" s="401" t="s">
        <v>347</v>
      </c>
      <c r="C196" s="3" t="s">
        <v>348</v>
      </c>
      <c r="D196" s="32"/>
      <c r="E196" s="3" t="s">
        <v>118</v>
      </c>
      <c r="H196" s="48"/>
      <c r="I196" s="3"/>
    </row>
    <row r="197" spans="1:13">
      <c r="A197" s="3"/>
      <c r="B197" s="399"/>
      <c r="C197" s="3" t="s">
        <v>349</v>
      </c>
      <c r="D197" s="32"/>
      <c r="E197" s="3" t="s">
        <v>118</v>
      </c>
      <c r="H197" s="48"/>
      <c r="I197" s="3"/>
    </row>
    <row r="198" spans="1:13">
      <c r="A198" s="3"/>
      <c r="B198" s="401" t="s">
        <v>350</v>
      </c>
      <c r="C198" s="3" t="s">
        <v>351</v>
      </c>
      <c r="D198" s="32"/>
      <c r="E198" s="3" t="s">
        <v>118</v>
      </c>
      <c r="H198" s="48"/>
      <c r="I198" s="3"/>
    </row>
    <row r="199" spans="1:13">
      <c r="A199" s="3"/>
      <c r="B199" s="399"/>
      <c r="C199" s="3" t="s">
        <v>352</v>
      </c>
      <c r="D199" s="32"/>
      <c r="E199" s="3" t="s">
        <v>118</v>
      </c>
      <c r="H199" s="48"/>
      <c r="I199" s="3"/>
    </row>
    <row r="200" spans="1:13">
      <c r="A200" s="3"/>
      <c r="B200" s="3" t="s">
        <v>353</v>
      </c>
      <c r="C200" s="3" t="s">
        <v>354</v>
      </c>
      <c r="E200" s="3" t="s">
        <v>355</v>
      </c>
      <c r="H200" s="4"/>
      <c r="I200" s="3"/>
    </row>
    <row r="201" spans="1:13">
      <c r="A201" s="3"/>
      <c r="B201" s="3" t="s">
        <v>353</v>
      </c>
      <c r="C201" s="3" t="s">
        <v>356</v>
      </c>
      <c r="E201" s="3" t="s">
        <v>355</v>
      </c>
      <c r="H201" s="4"/>
      <c r="I201" s="3"/>
    </row>
    <row r="202" spans="1:13">
      <c r="A202" s="3"/>
      <c r="B202" s="3" t="s">
        <v>353</v>
      </c>
      <c r="C202" s="3" t="s">
        <v>357</v>
      </c>
      <c r="E202" s="3" t="s">
        <v>355</v>
      </c>
      <c r="H202" s="4"/>
      <c r="I202" s="3"/>
    </row>
    <row r="204" spans="1:13">
      <c r="B204" s="11" t="s">
        <v>358</v>
      </c>
      <c r="C204" s="3" t="s">
        <v>359</v>
      </c>
      <c r="I204" s="3" t="s">
        <v>360</v>
      </c>
    </row>
    <row r="205" spans="1:13">
      <c r="B205" s="33" t="s">
        <v>361</v>
      </c>
      <c r="C205" s="33" t="s">
        <v>362</v>
      </c>
      <c r="D205" s="33" t="s">
        <v>363</v>
      </c>
      <c r="E205" s="33" t="s">
        <v>364</v>
      </c>
      <c r="F205" s="33" t="s">
        <v>365</v>
      </c>
      <c r="G205" s="33" t="s">
        <v>366</v>
      </c>
      <c r="H205" s="33" t="s">
        <v>367</v>
      </c>
      <c r="I205" s="33" t="s">
        <v>368</v>
      </c>
      <c r="J205" s="34" t="s">
        <v>369</v>
      </c>
      <c r="K205" s="33" t="s">
        <v>370</v>
      </c>
      <c r="L205" s="35" t="s">
        <v>371</v>
      </c>
      <c r="M205" s="35" t="s">
        <v>372</v>
      </c>
    </row>
    <row r="206" spans="1:13">
      <c r="B206" s="25">
        <v>5</v>
      </c>
      <c r="C206" s="25"/>
      <c r="D206" s="25"/>
      <c r="E206" s="25"/>
      <c r="F206" s="36"/>
      <c r="G206" s="36"/>
      <c r="H206" s="37"/>
      <c r="I206" s="25"/>
      <c r="J206" s="25"/>
      <c r="K206" s="25"/>
      <c r="L206" s="25"/>
    </row>
    <row r="207" spans="1:13">
      <c r="B207" s="25"/>
      <c r="C207" s="25"/>
      <c r="D207" s="25"/>
      <c r="E207" s="25"/>
      <c r="F207" s="36"/>
      <c r="G207" s="36"/>
      <c r="H207" s="37"/>
      <c r="I207" s="25"/>
      <c r="J207" s="25"/>
      <c r="K207" s="25"/>
      <c r="L207" s="25"/>
    </row>
    <row r="208" spans="1:13">
      <c r="B208" s="25"/>
      <c r="C208" s="25"/>
      <c r="D208" s="25"/>
      <c r="E208" s="25"/>
      <c r="F208" s="36"/>
      <c r="G208" s="36"/>
      <c r="H208" s="37"/>
      <c r="I208" s="25"/>
      <c r="J208" s="25"/>
      <c r="K208" s="25"/>
      <c r="L208" s="25"/>
    </row>
    <row r="209" spans="2:19">
      <c r="B209" s="25"/>
      <c r="C209" s="25"/>
      <c r="D209" s="25"/>
      <c r="E209" s="25"/>
      <c r="F209" s="36"/>
      <c r="G209" s="36"/>
      <c r="H209" s="37"/>
      <c r="I209" s="25"/>
      <c r="J209" s="25"/>
      <c r="K209" s="25"/>
      <c r="L209" s="25"/>
    </row>
    <row r="210" spans="2:19">
      <c r="B210" s="25"/>
      <c r="C210" s="25"/>
      <c r="D210" s="25"/>
      <c r="E210" s="25"/>
      <c r="F210" s="36"/>
      <c r="G210" s="36"/>
      <c r="H210" s="37"/>
      <c r="I210" s="25"/>
      <c r="J210" s="25"/>
      <c r="K210" s="25"/>
      <c r="L210" s="25"/>
    </row>
    <row r="211" spans="2:19">
      <c r="B211" s="25"/>
      <c r="C211" s="25"/>
      <c r="D211" s="25"/>
      <c r="E211" s="25"/>
      <c r="F211" s="36"/>
      <c r="G211" s="36"/>
      <c r="H211" s="37"/>
      <c r="I211" s="25"/>
      <c r="J211" s="25"/>
      <c r="K211" s="25"/>
      <c r="L211" s="25"/>
    </row>
    <row r="212" spans="2:19">
      <c r="B212" s="25"/>
      <c r="C212" s="25"/>
      <c r="D212" s="25"/>
      <c r="E212" s="25"/>
      <c r="F212" s="36"/>
      <c r="G212" s="36"/>
      <c r="H212" s="37"/>
      <c r="I212" s="25"/>
      <c r="J212" s="25"/>
      <c r="K212" s="25"/>
      <c r="L212" s="25"/>
    </row>
    <row r="213" spans="2:19">
      <c r="B213" s="38"/>
      <c r="C213" s="38"/>
      <c r="D213" s="38"/>
      <c r="E213" s="38"/>
      <c r="F213" s="39"/>
      <c r="G213" s="39"/>
      <c r="H213" s="40"/>
      <c r="I213" s="38"/>
      <c r="J213" s="38"/>
      <c r="K213" s="38"/>
      <c r="L213" s="38"/>
      <c r="M213" s="16"/>
    </row>
    <row r="214" spans="2:19">
      <c r="B214" s="25"/>
      <c r="C214" s="25"/>
      <c r="D214" s="25"/>
      <c r="E214" s="25"/>
      <c r="F214" s="36"/>
      <c r="G214" s="36"/>
      <c r="H214" s="37"/>
      <c r="I214" s="25"/>
      <c r="J214" s="25"/>
      <c r="K214" s="25"/>
      <c r="L214" s="25"/>
    </row>
    <row r="215" spans="2:19">
      <c r="B215" s="25"/>
      <c r="C215" s="25"/>
      <c r="D215" s="25"/>
      <c r="E215" s="25"/>
      <c r="F215" s="36"/>
      <c r="G215" s="36"/>
      <c r="H215" s="37"/>
      <c r="I215" s="25"/>
      <c r="J215" s="25"/>
      <c r="K215" s="25"/>
      <c r="L215" s="25"/>
    </row>
    <row r="216" spans="2:19">
      <c r="B216" s="25"/>
      <c r="C216" s="25"/>
      <c r="D216" s="25"/>
      <c r="E216" s="25"/>
      <c r="F216" s="36"/>
      <c r="G216" s="36"/>
      <c r="H216" s="37"/>
      <c r="I216" s="25"/>
      <c r="J216" s="25"/>
      <c r="K216" s="25"/>
      <c r="L216" s="25"/>
      <c r="R216" s="16"/>
      <c r="S216" s="16"/>
    </row>
    <row r="217" spans="2:19">
      <c r="B217" s="41"/>
      <c r="C217" s="41"/>
      <c r="D217" s="41"/>
      <c r="E217" s="41"/>
      <c r="F217" s="42"/>
      <c r="G217" s="42"/>
      <c r="H217" s="43"/>
      <c r="I217" s="41"/>
      <c r="J217" s="41"/>
      <c r="K217" s="41"/>
      <c r="L217" s="41"/>
    </row>
    <row r="218" spans="2:19">
      <c r="B218" s="25">
        <v>12</v>
      </c>
      <c r="C218" s="25"/>
      <c r="D218" s="25"/>
      <c r="E218" s="25"/>
      <c r="F218" s="36"/>
      <c r="G218" s="36"/>
      <c r="H218" s="37"/>
      <c r="I218" s="25"/>
      <c r="J218" s="25"/>
      <c r="K218" s="25"/>
      <c r="L218" s="25"/>
    </row>
    <row r="219" spans="2:19">
      <c r="B219" s="25"/>
      <c r="C219" s="25"/>
      <c r="D219" s="25"/>
      <c r="E219" s="25"/>
      <c r="F219" s="36"/>
      <c r="G219" s="36"/>
      <c r="H219" s="37"/>
      <c r="I219" s="25"/>
      <c r="J219" s="25"/>
      <c r="K219" s="25"/>
      <c r="L219" s="25"/>
    </row>
    <row r="220" spans="2:19">
      <c r="B220" s="25"/>
      <c r="C220" s="25"/>
      <c r="D220" s="25"/>
      <c r="E220" s="25"/>
      <c r="F220" s="36"/>
      <c r="G220" s="36"/>
      <c r="H220" s="37"/>
      <c r="I220" s="25"/>
      <c r="J220" s="25"/>
      <c r="K220" s="25"/>
      <c r="L220" s="25"/>
    </row>
    <row r="221" spans="2:19">
      <c r="B221" s="25"/>
      <c r="C221" s="25"/>
      <c r="D221" s="25"/>
      <c r="E221" s="25"/>
      <c r="F221" s="36"/>
      <c r="G221" s="36"/>
      <c r="H221" s="37"/>
      <c r="I221" s="25"/>
      <c r="J221" s="25"/>
      <c r="K221" s="25"/>
      <c r="L221" s="25"/>
    </row>
    <row r="222" spans="2:19">
      <c r="B222" s="25"/>
      <c r="C222" s="25"/>
      <c r="D222" s="25"/>
      <c r="E222" s="25"/>
      <c r="F222" s="36"/>
      <c r="G222" s="36"/>
      <c r="H222" s="37"/>
      <c r="I222" s="25"/>
      <c r="J222" s="25"/>
      <c r="K222" s="25"/>
      <c r="L222" s="25"/>
    </row>
    <row r="223" spans="2:19">
      <c r="B223" s="25"/>
      <c r="C223" s="25"/>
      <c r="D223" s="25"/>
      <c r="E223" s="25"/>
      <c r="F223" s="36"/>
      <c r="G223" s="36"/>
      <c r="H223" s="37"/>
      <c r="I223" s="25"/>
      <c r="J223" s="25"/>
      <c r="K223" s="25"/>
      <c r="L223" s="25"/>
    </row>
    <row r="224" spans="2:19">
      <c r="B224" s="25"/>
      <c r="C224" s="25"/>
      <c r="D224" s="25"/>
      <c r="E224" s="25"/>
      <c r="F224" s="36"/>
      <c r="G224" s="36"/>
      <c r="H224" s="37"/>
      <c r="I224" s="25"/>
      <c r="J224" s="25"/>
      <c r="K224" s="25"/>
      <c r="L224" s="25"/>
    </row>
    <row r="225" spans="2:12">
      <c r="B225" s="25"/>
      <c r="C225" s="25"/>
      <c r="D225" s="25"/>
      <c r="E225" s="25"/>
      <c r="F225" s="36"/>
      <c r="G225" s="36"/>
      <c r="H225" s="37"/>
      <c r="I225" s="25"/>
      <c r="J225" s="25"/>
      <c r="K225" s="25"/>
      <c r="L225" s="25"/>
    </row>
    <row r="226" spans="2:12">
      <c r="B226" s="25"/>
      <c r="C226" s="25"/>
      <c r="D226" s="25"/>
      <c r="E226" s="25"/>
      <c r="F226" s="36"/>
      <c r="G226" s="36"/>
      <c r="H226" s="37"/>
      <c r="I226" s="25"/>
      <c r="J226" s="25"/>
      <c r="K226" s="25"/>
      <c r="L226" s="25"/>
    </row>
    <row r="227" spans="2:12">
      <c r="B227" s="41"/>
      <c r="C227" s="41"/>
      <c r="D227" s="41"/>
      <c r="E227" s="41"/>
      <c r="F227" s="42"/>
      <c r="G227" s="42"/>
      <c r="H227" s="43"/>
      <c r="I227" s="41"/>
      <c r="J227" s="41"/>
      <c r="K227" s="41"/>
      <c r="L227" s="41"/>
    </row>
    <row r="228" spans="2:12">
      <c r="B228" s="25">
        <v>24</v>
      </c>
      <c r="C228" s="25"/>
      <c r="D228" s="25"/>
      <c r="E228" s="25"/>
      <c r="F228" s="36"/>
      <c r="G228" s="36"/>
      <c r="H228" s="37"/>
      <c r="I228" s="25"/>
      <c r="J228" s="25"/>
      <c r="K228" s="25"/>
      <c r="L228" s="25"/>
    </row>
    <row r="229" spans="2:12">
      <c r="B229" s="25"/>
      <c r="C229" s="25"/>
      <c r="D229" s="25"/>
      <c r="E229" s="25"/>
      <c r="F229" s="36"/>
      <c r="G229" s="36"/>
      <c r="H229" s="37"/>
      <c r="I229" s="25"/>
      <c r="J229" s="25"/>
      <c r="K229" s="25"/>
      <c r="L229" s="25"/>
    </row>
    <row r="230" spans="2:12">
      <c r="B230" s="25"/>
      <c r="C230" s="25"/>
      <c r="D230" s="25"/>
      <c r="E230" s="25"/>
      <c r="F230" s="36"/>
      <c r="G230" s="36"/>
      <c r="H230" s="37"/>
      <c r="I230" s="25"/>
      <c r="J230" s="25"/>
      <c r="K230" s="25"/>
      <c r="L230" s="25"/>
    </row>
    <row r="231" spans="2:12">
      <c r="B231" s="25"/>
      <c r="C231" s="25"/>
      <c r="D231" s="25"/>
      <c r="E231" s="25"/>
      <c r="F231" s="36"/>
      <c r="G231" s="36"/>
      <c r="H231" s="37"/>
      <c r="I231" s="25"/>
      <c r="J231" s="25"/>
      <c r="K231" s="25"/>
      <c r="L231" s="25"/>
    </row>
    <row r="232" spans="2:12">
      <c r="B232" s="25"/>
      <c r="C232" s="25"/>
      <c r="D232" s="25"/>
      <c r="E232" s="25"/>
      <c r="F232" s="36"/>
      <c r="G232" s="36"/>
      <c r="H232" s="37"/>
      <c r="I232" s="25"/>
      <c r="J232" s="25"/>
      <c r="K232" s="25"/>
      <c r="L232" s="25"/>
    </row>
    <row r="233" spans="2:12">
      <c r="B233" s="25"/>
      <c r="C233" s="25"/>
      <c r="D233" s="25"/>
      <c r="E233" s="25"/>
      <c r="F233" s="36"/>
      <c r="G233" s="36"/>
      <c r="H233" s="37"/>
      <c r="I233" s="25"/>
      <c r="J233" s="25"/>
      <c r="K233" s="25"/>
      <c r="L233" s="25"/>
    </row>
    <row r="234" spans="2:12">
      <c r="B234" s="25"/>
      <c r="C234" s="25"/>
      <c r="D234" s="25"/>
      <c r="E234" s="25"/>
      <c r="F234" s="36"/>
      <c r="G234" s="36"/>
      <c r="H234" s="37"/>
      <c r="I234" s="25"/>
      <c r="J234" s="25"/>
      <c r="K234" s="25"/>
      <c r="L234" s="25"/>
    </row>
    <row r="235" spans="2:12">
      <c r="B235" s="25"/>
      <c r="C235" s="25"/>
      <c r="D235" s="25"/>
      <c r="E235" s="25"/>
      <c r="F235" s="36"/>
      <c r="G235" s="36"/>
      <c r="H235" s="37"/>
      <c r="I235" s="25"/>
      <c r="J235" s="25"/>
      <c r="K235" s="25"/>
      <c r="L235" s="25"/>
    </row>
    <row r="236" spans="2:12">
      <c r="B236" s="25"/>
      <c r="C236" s="25"/>
      <c r="D236" s="25"/>
      <c r="E236" s="25"/>
      <c r="F236" s="36"/>
      <c r="G236" s="36"/>
      <c r="H236" s="37"/>
      <c r="I236" s="25"/>
      <c r="J236" s="25"/>
      <c r="K236" s="25"/>
      <c r="L236" s="25"/>
    </row>
    <row r="237" spans="2:12">
      <c r="B237" s="25"/>
      <c r="C237" s="25"/>
      <c r="D237" s="25"/>
      <c r="E237" s="25"/>
      <c r="F237" s="36"/>
      <c r="G237" s="36"/>
      <c r="H237" s="37"/>
      <c r="I237" s="25"/>
      <c r="J237" s="25"/>
      <c r="K237" s="25"/>
      <c r="L237" s="25"/>
    </row>
    <row r="238" spans="2:12">
      <c r="B238" s="25"/>
      <c r="C238" s="25"/>
      <c r="D238" s="25"/>
      <c r="E238" s="25"/>
      <c r="F238" s="36"/>
      <c r="G238" s="36"/>
      <c r="H238" s="37"/>
      <c r="I238" s="25"/>
      <c r="J238" s="25"/>
      <c r="K238" s="25"/>
      <c r="L238" s="25"/>
    </row>
    <row r="239" spans="2:12">
      <c r="B239" s="25"/>
      <c r="C239" s="25"/>
      <c r="D239" s="25"/>
      <c r="E239" s="25"/>
      <c r="F239" s="36"/>
      <c r="G239" s="36"/>
      <c r="H239" s="37"/>
      <c r="I239" s="25"/>
      <c r="J239" s="25"/>
      <c r="K239" s="25"/>
      <c r="L239" s="25"/>
    </row>
    <row r="240" spans="2:12">
      <c r="B240" s="25"/>
      <c r="C240" s="25"/>
      <c r="D240" s="25"/>
      <c r="E240" s="25"/>
      <c r="F240" s="36"/>
      <c r="G240" s="36"/>
      <c r="H240" s="37"/>
      <c r="I240" s="25"/>
      <c r="J240" s="25"/>
      <c r="K240" s="25"/>
      <c r="L240" s="25"/>
    </row>
    <row r="241" spans="2:14">
      <c r="B241" s="25"/>
      <c r="C241" s="25"/>
      <c r="D241" s="25"/>
      <c r="E241" s="25"/>
      <c r="F241" s="25"/>
      <c r="G241" s="25"/>
      <c r="H241" s="25"/>
      <c r="I241" s="25"/>
      <c r="J241" s="25"/>
      <c r="K241" s="25"/>
      <c r="L241" s="25"/>
    </row>
    <row r="242" spans="2:14">
      <c r="B242" s="45" t="s">
        <v>377</v>
      </c>
      <c r="I242" s="3" t="s">
        <v>378</v>
      </c>
    </row>
    <row r="243" spans="2:14">
      <c r="B243" s="49" t="s">
        <v>361</v>
      </c>
      <c r="C243" s="49" t="s">
        <v>362</v>
      </c>
      <c r="D243" s="49" t="s">
        <v>363</v>
      </c>
      <c r="E243" s="49" t="s">
        <v>364</v>
      </c>
      <c r="F243" s="49" t="s">
        <v>379</v>
      </c>
      <c r="G243" s="49" t="s">
        <v>365</v>
      </c>
      <c r="H243" s="49" t="s">
        <v>366</v>
      </c>
      <c r="I243" s="49" t="s">
        <v>367</v>
      </c>
      <c r="J243" s="49" t="s">
        <v>368</v>
      </c>
      <c r="K243" s="50" t="s">
        <v>369</v>
      </c>
      <c r="L243" s="49" t="s">
        <v>370</v>
      </c>
      <c r="M243" s="51" t="s">
        <v>371</v>
      </c>
      <c r="N243" s="51" t="s">
        <v>372</v>
      </c>
    </row>
    <row r="244" spans="2:14">
      <c r="B244" s="25">
        <v>3.7</v>
      </c>
      <c r="C244" s="25"/>
      <c r="D244" s="25"/>
      <c r="E244" s="25"/>
      <c r="F244" s="25"/>
      <c r="G244" s="36"/>
      <c r="H244" s="36"/>
      <c r="I244" s="25"/>
      <c r="J244" s="25"/>
      <c r="K244" s="25"/>
      <c r="L244" s="25"/>
      <c r="M244" s="25"/>
      <c r="N244" s="3"/>
    </row>
    <row r="245" spans="2:14">
      <c r="B245" s="25"/>
      <c r="C245" s="25"/>
      <c r="D245" s="25"/>
      <c r="E245" s="25"/>
      <c r="F245" s="25"/>
      <c r="G245" s="36"/>
      <c r="H245" s="36"/>
      <c r="I245" s="37"/>
      <c r="J245" s="25"/>
      <c r="K245" s="25"/>
      <c r="L245" s="25"/>
      <c r="M245" s="25"/>
    </row>
    <row r="246" spans="2:14">
      <c r="B246" s="25"/>
      <c r="C246" s="25"/>
      <c r="D246" s="25"/>
      <c r="E246" s="25"/>
      <c r="F246" s="25"/>
      <c r="G246" s="36"/>
      <c r="H246" s="36"/>
      <c r="I246" s="37"/>
      <c r="J246" s="25"/>
      <c r="K246" s="25"/>
      <c r="L246" s="25"/>
      <c r="M246" s="25"/>
    </row>
    <row r="247" spans="2:14">
      <c r="B247" s="25"/>
      <c r="C247" s="25"/>
      <c r="D247" s="25"/>
      <c r="E247" s="25"/>
      <c r="F247" s="25"/>
      <c r="G247" s="36"/>
      <c r="H247" s="36"/>
      <c r="I247" s="37"/>
      <c r="J247" s="25"/>
      <c r="K247" s="25"/>
      <c r="L247" s="25"/>
      <c r="M247" s="25"/>
    </row>
    <row r="248" spans="2:14">
      <c r="B248" s="25"/>
      <c r="C248" s="25"/>
      <c r="D248" s="25"/>
      <c r="E248" s="25"/>
      <c r="F248" s="25"/>
      <c r="G248" s="36"/>
      <c r="H248" s="36"/>
      <c r="I248" s="37"/>
      <c r="J248" s="25"/>
      <c r="K248" s="25"/>
      <c r="L248" s="25"/>
      <c r="M248" s="25"/>
    </row>
    <row r="249" spans="2:14">
      <c r="B249" s="25"/>
      <c r="C249" s="25"/>
      <c r="D249" s="25"/>
      <c r="E249" s="25"/>
      <c r="F249" s="25"/>
      <c r="G249" s="36"/>
      <c r="H249" s="36"/>
      <c r="I249" s="37"/>
      <c r="J249" s="25"/>
      <c r="K249" s="25"/>
      <c r="L249" s="25"/>
      <c r="M249" s="25"/>
    </row>
    <row r="250" spans="2:14">
      <c r="B250" s="25"/>
      <c r="C250" s="25"/>
      <c r="D250" s="25"/>
      <c r="E250" s="25"/>
      <c r="F250" s="25"/>
      <c r="G250" s="36"/>
      <c r="H250" s="36"/>
      <c r="I250" s="37"/>
      <c r="J250" s="25"/>
      <c r="K250" s="25"/>
      <c r="L250" s="25"/>
      <c r="M250" s="25"/>
    </row>
    <row r="251" spans="2:14">
      <c r="B251" s="25"/>
      <c r="C251" s="25"/>
      <c r="D251" s="25"/>
      <c r="E251" s="25"/>
      <c r="F251" s="25"/>
      <c r="G251" s="36"/>
      <c r="H251" s="36"/>
      <c r="I251" s="37"/>
      <c r="J251" s="25"/>
      <c r="K251" s="25"/>
      <c r="L251" s="25"/>
      <c r="M251" s="25"/>
    </row>
    <row r="252" spans="2:14">
      <c r="B252" s="25"/>
      <c r="C252" s="25"/>
      <c r="D252" s="25"/>
      <c r="E252" s="25"/>
      <c r="F252" s="25"/>
      <c r="G252" s="36"/>
      <c r="H252" s="36"/>
      <c r="I252" s="37"/>
      <c r="J252" s="25"/>
      <c r="K252" s="25"/>
      <c r="L252" s="25"/>
      <c r="M252" s="25"/>
    </row>
    <row r="253" spans="2:14">
      <c r="B253" s="25"/>
      <c r="C253" s="25"/>
      <c r="D253" s="25"/>
      <c r="E253" s="25"/>
      <c r="F253" s="25"/>
      <c r="G253" s="36"/>
      <c r="H253" s="36"/>
      <c r="I253" s="37"/>
      <c r="J253" s="25"/>
      <c r="K253" s="25"/>
      <c r="L253" s="25"/>
      <c r="M253" s="25"/>
    </row>
    <row r="254" spans="2:14">
      <c r="B254" s="25"/>
      <c r="C254" s="25"/>
      <c r="D254" s="25"/>
      <c r="E254" s="25"/>
      <c r="F254" s="25"/>
      <c r="G254" s="36"/>
      <c r="H254" s="36"/>
      <c r="I254" s="37"/>
      <c r="J254" s="25"/>
      <c r="K254" s="25"/>
      <c r="L254" s="25"/>
      <c r="M254" s="25"/>
    </row>
    <row r="255" spans="2:14">
      <c r="B255" s="25"/>
      <c r="C255" s="25"/>
      <c r="D255" s="25"/>
      <c r="E255" s="25"/>
      <c r="F255" s="25"/>
      <c r="G255" s="36"/>
      <c r="H255" s="36"/>
      <c r="I255" s="37"/>
      <c r="J255" s="25"/>
      <c r="K255" s="25"/>
      <c r="L255" s="25"/>
      <c r="M255" s="25"/>
    </row>
    <row r="256" spans="2:14">
      <c r="B256" s="25"/>
      <c r="C256" s="25"/>
      <c r="D256" s="25"/>
      <c r="E256" s="25"/>
      <c r="F256" s="25"/>
      <c r="G256" s="36"/>
      <c r="H256" s="36"/>
      <c r="I256" s="37"/>
      <c r="J256" s="25"/>
      <c r="K256" s="25"/>
      <c r="L256" s="25"/>
      <c r="M256" s="25"/>
    </row>
    <row r="257" spans="2:13">
      <c r="B257" s="25"/>
      <c r="C257" s="25"/>
      <c r="D257" s="25"/>
      <c r="E257" s="25"/>
      <c r="F257" s="25"/>
      <c r="G257" s="36"/>
      <c r="H257" s="36"/>
      <c r="I257" s="37"/>
      <c r="J257" s="25"/>
      <c r="K257" s="25"/>
      <c r="L257" s="25"/>
      <c r="M257" s="25"/>
    </row>
    <row r="258" spans="2:13">
      <c r="B258" s="25"/>
      <c r="C258" s="25"/>
      <c r="D258" s="25"/>
      <c r="E258" s="25"/>
      <c r="F258" s="25"/>
      <c r="G258" s="36"/>
      <c r="H258" s="36"/>
      <c r="I258" s="37"/>
      <c r="J258" s="25"/>
      <c r="K258" s="25"/>
      <c r="L258" s="25"/>
      <c r="M258" s="25"/>
    </row>
    <row r="259" spans="2:13">
      <c r="B259" s="25"/>
      <c r="C259" s="25"/>
      <c r="D259" s="25"/>
      <c r="E259" s="25"/>
      <c r="F259" s="25"/>
      <c r="G259" s="36"/>
      <c r="H259" s="36"/>
      <c r="I259" s="37"/>
      <c r="J259" s="25"/>
      <c r="K259" s="25"/>
      <c r="L259" s="25"/>
      <c r="M259" s="25"/>
    </row>
    <row r="260" spans="2:13">
      <c r="B260" s="25"/>
      <c r="C260" s="25"/>
      <c r="D260" s="25"/>
      <c r="E260" s="25"/>
      <c r="F260" s="25"/>
      <c r="G260" s="36"/>
      <c r="H260" s="36"/>
      <c r="I260" s="37"/>
      <c r="J260" s="25"/>
      <c r="K260" s="25"/>
      <c r="L260" s="25"/>
      <c r="M260" s="25"/>
    </row>
    <row r="261" spans="2:13">
      <c r="B261" s="25"/>
      <c r="C261" s="25"/>
      <c r="D261" s="25"/>
      <c r="E261" s="25"/>
      <c r="F261" s="25"/>
      <c r="G261" s="25"/>
      <c r="H261" s="25"/>
      <c r="I261" s="25"/>
      <c r="J261" s="25"/>
      <c r="K261" s="25"/>
      <c r="L261" s="25"/>
      <c r="M261" s="25"/>
    </row>
    <row r="262" spans="2:13">
      <c r="B262" s="52"/>
      <c r="C262" s="25"/>
      <c r="D262" s="25"/>
      <c r="E262" s="25"/>
      <c r="F262" s="25"/>
      <c r="G262" s="25"/>
      <c r="H262" s="25"/>
      <c r="I262" s="25"/>
      <c r="J262" s="25"/>
      <c r="K262" s="25"/>
      <c r="L262" s="25"/>
      <c r="M262" s="25"/>
    </row>
    <row r="263" spans="2:13">
      <c r="B263" s="47"/>
      <c r="C263" s="47"/>
      <c r="D263" s="47"/>
      <c r="E263" s="25"/>
      <c r="F263" s="25"/>
      <c r="G263" s="25"/>
      <c r="H263" s="25"/>
      <c r="I263" s="25"/>
      <c r="J263" s="25"/>
      <c r="K263" s="25"/>
      <c r="L263" s="25"/>
      <c r="M263" s="25"/>
    </row>
    <row r="264" spans="2:13">
      <c r="B264" s="39"/>
      <c r="C264" s="40"/>
      <c r="D264" s="25"/>
      <c r="E264" s="25"/>
      <c r="F264" s="25"/>
      <c r="G264" s="25"/>
      <c r="H264" s="25"/>
      <c r="I264" s="25"/>
      <c r="J264" s="25"/>
      <c r="K264" s="25"/>
      <c r="L264" s="25"/>
      <c r="M264" s="25"/>
    </row>
    <row r="265" spans="2:13">
      <c r="B265" s="39"/>
      <c r="C265" s="40"/>
      <c r="D265" s="25"/>
      <c r="E265" s="25"/>
      <c r="F265" s="25"/>
      <c r="G265" s="25"/>
      <c r="H265" s="25"/>
      <c r="I265" s="25"/>
      <c r="J265" s="25"/>
      <c r="K265" s="25"/>
      <c r="L265" s="25"/>
      <c r="M265" s="25"/>
    </row>
    <row r="266" spans="2:13">
      <c r="B266" s="39"/>
      <c r="C266" s="40"/>
      <c r="D266" s="25"/>
      <c r="E266" s="25"/>
      <c r="F266" s="25"/>
      <c r="G266" s="25"/>
      <c r="H266" s="25"/>
      <c r="I266" s="25"/>
      <c r="J266" s="25"/>
      <c r="K266" s="25"/>
      <c r="L266" s="25"/>
      <c r="M266" s="25"/>
    </row>
    <row r="267" spans="2:13">
      <c r="B267" s="39"/>
      <c r="C267" s="40"/>
      <c r="D267" s="25"/>
      <c r="E267" s="25"/>
      <c r="F267" s="25"/>
      <c r="G267" s="25"/>
      <c r="H267" s="25"/>
      <c r="I267" s="25"/>
      <c r="J267" s="25"/>
      <c r="K267" s="25"/>
      <c r="L267" s="25"/>
      <c r="M267" s="25"/>
    </row>
    <row r="268" spans="2:13">
      <c r="B268" s="39"/>
      <c r="C268" s="40"/>
      <c r="D268" s="25"/>
      <c r="E268" s="25"/>
      <c r="F268" s="25"/>
      <c r="G268" s="25"/>
      <c r="H268" s="25"/>
      <c r="I268" s="25"/>
      <c r="J268" s="25"/>
      <c r="K268" s="25"/>
      <c r="L268" s="25"/>
      <c r="M268" s="25"/>
    </row>
    <row r="269" spans="2:13">
      <c r="B269" s="39"/>
      <c r="C269" s="40"/>
      <c r="D269" s="25"/>
      <c r="E269" s="25"/>
      <c r="F269" s="25"/>
      <c r="G269" s="25"/>
      <c r="H269" s="25"/>
      <c r="I269" s="25"/>
      <c r="J269" s="25"/>
      <c r="K269" s="25"/>
      <c r="L269" s="25"/>
      <c r="M269" s="25"/>
    </row>
    <row r="270" spans="2:13">
      <c r="B270" s="39"/>
      <c r="C270" s="40"/>
      <c r="D270" s="25"/>
      <c r="E270" s="25"/>
      <c r="F270" s="25"/>
      <c r="G270" s="25"/>
      <c r="H270" s="25"/>
      <c r="I270" s="25"/>
      <c r="J270" s="25"/>
      <c r="K270" s="25"/>
      <c r="L270" s="25"/>
      <c r="M270" s="25"/>
    </row>
    <row r="271" spans="2:13">
      <c r="B271" s="39"/>
      <c r="C271" s="40"/>
      <c r="D271" s="38"/>
      <c r="E271" s="25"/>
      <c r="F271" s="25"/>
      <c r="G271" s="25"/>
      <c r="H271" s="25"/>
      <c r="I271" s="25"/>
      <c r="J271" s="25"/>
      <c r="K271" s="25"/>
      <c r="L271" s="25"/>
      <c r="M271" s="25"/>
    </row>
    <row r="272" spans="2:13">
      <c r="B272" s="39"/>
      <c r="C272" s="40"/>
      <c r="D272" s="25"/>
      <c r="E272" s="25"/>
      <c r="F272" s="25"/>
      <c r="G272" s="25"/>
      <c r="H272" s="25"/>
      <c r="I272" s="25"/>
      <c r="J272" s="25"/>
      <c r="K272" s="25"/>
      <c r="L272" s="25"/>
      <c r="M272" s="25"/>
    </row>
    <row r="273" spans="2:13">
      <c r="B273" s="39"/>
      <c r="C273" s="40"/>
      <c r="D273" s="25"/>
      <c r="E273" s="25"/>
      <c r="F273" s="25"/>
      <c r="G273" s="25"/>
      <c r="H273" s="25"/>
      <c r="I273" s="25"/>
      <c r="J273" s="25"/>
      <c r="K273" s="25"/>
      <c r="L273" s="25"/>
      <c r="M273" s="25"/>
    </row>
    <row r="274" spans="2:13">
      <c r="B274" s="39"/>
      <c r="C274" s="40"/>
      <c r="D274" s="25"/>
      <c r="E274" s="25"/>
      <c r="F274" s="25"/>
      <c r="G274" s="25"/>
      <c r="H274" s="25"/>
      <c r="I274" s="25"/>
      <c r="J274" s="25"/>
      <c r="K274" s="25"/>
      <c r="L274" s="25"/>
      <c r="M274" s="25"/>
    </row>
    <row r="275" spans="2:13">
      <c r="B275" s="39"/>
      <c r="C275" s="25"/>
      <c r="D275" s="40"/>
      <c r="E275" s="25"/>
      <c r="F275" s="25"/>
      <c r="G275" s="25"/>
      <c r="H275" s="25"/>
      <c r="I275" s="25"/>
      <c r="J275" s="25"/>
      <c r="K275" s="25"/>
      <c r="L275" s="25"/>
      <c r="M275" s="25"/>
    </row>
    <row r="276" spans="2:13">
      <c r="B276" s="39"/>
      <c r="C276" s="25"/>
      <c r="D276" s="40"/>
      <c r="E276" s="25"/>
      <c r="F276" s="25"/>
      <c r="G276" s="25"/>
      <c r="H276" s="25"/>
      <c r="I276" s="25"/>
      <c r="J276" s="25"/>
      <c r="K276" s="25"/>
      <c r="L276" s="25"/>
      <c r="M276" s="25"/>
    </row>
    <row r="277" spans="2:13">
      <c r="B277" s="39"/>
      <c r="C277" s="25"/>
      <c r="D277" s="40"/>
      <c r="E277" s="25"/>
      <c r="F277" s="25"/>
      <c r="G277" s="25"/>
      <c r="H277" s="53"/>
      <c r="I277" s="25"/>
      <c r="J277" s="25"/>
      <c r="K277" s="25"/>
      <c r="L277" s="25"/>
      <c r="M277" s="25"/>
    </row>
    <row r="278" spans="2:13">
      <c r="B278" s="39"/>
      <c r="C278" s="25"/>
      <c r="D278" s="40"/>
      <c r="E278" s="25"/>
      <c r="F278" s="25"/>
      <c r="G278" s="25"/>
      <c r="H278" s="53"/>
      <c r="I278" s="25"/>
      <c r="J278" s="25"/>
      <c r="K278" s="25"/>
      <c r="L278" s="25"/>
      <c r="M278" s="25"/>
    </row>
    <row r="279" spans="2:13">
      <c r="B279" s="39"/>
      <c r="C279" s="25"/>
      <c r="D279" s="40"/>
      <c r="E279" s="25"/>
      <c r="F279" s="25"/>
      <c r="G279" s="25"/>
      <c r="H279" s="53"/>
      <c r="I279" s="25"/>
      <c r="J279" s="25"/>
      <c r="K279" s="25"/>
      <c r="L279" s="25"/>
      <c r="M279" s="25"/>
    </row>
    <row r="280" spans="2:13">
      <c r="B280" s="39"/>
      <c r="C280" s="25"/>
      <c r="D280" s="40"/>
      <c r="E280" s="25"/>
      <c r="F280" s="25"/>
      <c r="G280" s="25"/>
      <c r="H280" s="53"/>
      <c r="I280" s="25"/>
      <c r="J280" s="25"/>
      <c r="K280" s="25"/>
      <c r="L280" s="25"/>
      <c r="M280" s="25"/>
    </row>
    <row r="281" spans="2:13">
      <c r="B281" s="39"/>
      <c r="C281" s="25"/>
      <c r="D281" s="40"/>
      <c r="E281" s="25"/>
      <c r="F281" s="25"/>
      <c r="G281" s="25"/>
      <c r="H281" s="53"/>
      <c r="I281" s="25"/>
      <c r="J281" s="25"/>
      <c r="K281" s="25"/>
      <c r="L281" s="25"/>
      <c r="M281" s="25"/>
    </row>
    <row r="282" spans="2:13">
      <c r="B282" s="39"/>
      <c r="C282" s="25"/>
      <c r="D282" s="40"/>
      <c r="E282" s="25"/>
      <c r="F282" s="25"/>
      <c r="G282" s="25"/>
      <c r="H282" s="53"/>
      <c r="I282" s="25"/>
      <c r="J282" s="25"/>
      <c r="K282" s="25"/>
      <c r="L282" s="25"/>
      <c r="M282" s="25"/>
    </row>
    <row r="283" spans="2:13">
      <c r="B283" s="39"/>
      <c r="C283" s="25"/>
      <c r="D283" s="40"/>
      <c r="E283" s="25"/>
      <c r="F283" s="25"/>
      <c r="G283" s="25"/>
      <c r="H283" s="53"/>
      <c r="I283" s="25"/>
      <c r="J283" s="25"/>
      <c r="K283" s="25"/>
      <c r="L283" s="25"/>
      <c r="M283" s="25"/>
    </row>
    <row r="284" spans="2:13">
      <c r="B284" s="25"/>
      <c r="C284" s="25"/>
      <c r="D284" s="25"/>
      <c r="E284" s="25"/>
      <c r="F284" s="25"/>
      <c r="G284" s="25"/>
      <c r="H284" s="53"/>
      <c r="I284" s="25"/>
      <c r="J284" s="25"/>
      <c r="K284" s="25"/>
      <c r="L284" s="25"/>
      <c r="M284" s="25"/>
    </row>
    <row r="285" spans="2:13">
      <c r="B285" s="25"/>
      <c r="C285" s="25"/>
      <c r="D285" s="25"/>
      <c r="E285" s="25"/>
      <c r="F285" s="25"/>
      <c r="G285" s="25"/>
      <c r="H285" s="53"/>
      <c r="I285" s="25"/>
      <c r="J285" s="25"/>
      <c r="K285" s="25"/>
      <c r="L285" s="25"/>
      <c r="M285" s="25"/>
    </row>
    <row r="286" spans="2:13">
      <c r="B286" s="25"/>
      <c r="C286" s="25"/>
      <c r="D286" s="25"/>
      <c r="E286" s="25"/>
      <c r="F286" s="25"/>
      <c r="G286" s="25"/>
      <c r="H286" s="53"/>
      <c r="I286" s="25"/>
      <c r="J286" s="25"/>
      <c r="K286" s="25"/>
      <c r="L286" s="25"/>
      <c r="M286" s="25"/>
    </row>
    <row r="287" spans="2:13">
      <c r="B287" s="25"/>
      <c r="C287" s="25"/>
      <c r="D287" s="25"/>
      <c r="E287" s="25"/>
      <c r="F287" s="25"/>
      <c r="G287" s="25"/>
      <c r="H287" s="53"/>
      <c r="I287" s="25"/>
      <c r="J287" s="25"/>
      <c r="K287" s="25"/>
      <c r="L287" s="25"/>
      <c r="M287" s="25"/>
    </row>
    <row r="288" spans="2:13">
      <c r="B288" s="25"/>
      <c r="C288" s="25"/>
      <c r="D288" s="25"/>
      <c r="E288" s="25"/>
      <c r="F288" s="25"/>
      <c r="G288" s="25"/>
      <c r="H288" s="53"/>
      <c r="I288" s="25"/>
      <c r="J288" s="25"/>
      <c r="K288" s="25"/>
      <c r="L288" s="25"/>
      <c r="M288" s="25"/>
    </row>
    <row r="289" spans="2:13">
      <c r="B289" s="25"/>
      <c r="C289" s="25"/>
      <c r="D289" s="25"/>
      <c r="E289" s="25"/>
      <c r="F289" s="25"/>
      <c r="G289" s="25"/>
      <c r="H289" s="53"/>
      <c r="I289" s="25"/>
      <c r="J289" s="25"/>
      <c r="K289" s="25"/>
      <c r="L289" s="25"/>
      <c r="M289" s="25"/>
    </row>
    <row r="290" spans="2:13">
      <c r="B290" s="25"/>
      <c r="C290" s="25"/>
      <c r="D290" s="25"/>
      <c r="E290" s="25"/>
      <c r="F290" s="25"/>
      <c r="G290" s="25"/>
      <c r="H290" s="53"/>
      <c r="I290" s="25"/>
      <c r="J290" s="25"/>
      <c r="K290" s="25"/>
      <c r="L290" s="25"/>
      <c r="M290" s="25"/>
    </row>
    <row r="291" spans="2:13">
      <c r="B291" s="25"/>
      <c r="C291" s="25"/>
      <c r="D291" s="25"/>
      <c r="E291" s="25"/>
      <c r="F291" s="25"/>
      <c r="G291" s="25"/>
      <c r="H291" s="53"/>
      <c r="I291" s="25"/>
      <c r="J291" s="25"/>
      <c r="K291" s="25"/>
      <c r="L291" s="25"/>
      <c r="M291" s="25"/>
    </row>
    <row r="292" spans="2:13">
      <c r="B292" s="25"/>
      <c r="C292" s="25"/>
      <c r="D292" s="25"/>
      <c r="E292" s="25"/>
      <c r="F292" s="25"/>
      <c r="G292" s="25"/>
      <c r="H292" s="53"/>
      <c r="I292" s="25"/>
      <c r="J292" s="25"/>
      <c r="K292" s="25"/>
      <c r="L292" s="25"/>
      <c r="M292" s="25"/>
    </row>
    <row r="293" spans="2:13">
      <c r="B293" s="25"/>
      <c r="C293" s="25"/>
      <c r="D293" s="25"/>
      <c r="E293" s="25"/>
      <c r="F293" s="25"/>
      <c r="G293" s="25"/>
      <c r="H293" s="53"/>
      <c r="I293" s="25"/>
      <c r="J293" s="25"/>
      <c r="K293" s="25"/>
      <c r="L293" s="25"/>
      <c r="M293" s="25"/>
    </row>
    <row r="294" spans="2:13">
      <c r="B294" s="25"/>
      <c r="C294" s="25"/>
      <c r="D294" s="25"/>
      <c r="E294" s="25"/>
      <c r="F294" s="25"/>
      <c r="G294" s="25"/>
      <c r="H294" s="53"/>
      <c r="I294" s="25"/>
      <c r="J294" s="25"/>
      <c r="K294" s="25"/>
      <c r="L294" s="25"/>
      <c r="M294" s="25"/>
    </row>
    <row r="295" spans="2:13">
      <c r="D295" s="12"/>
      <c r="H295" s="15"/>
      <c r="I295" s="25"/>
    </row>
    <row r="296" spans="2:13">
      <c r="D296" s="12"/>
      <c r="H296" s="15"/>
      <c r="I296" s="25"/>
    </row>
    <row r="297" spans="2:13">
      <c r="D297" s="12"/>
      <c r="H297" s="15"/>
      <c r="I297" s="25"/>
    </row>
    <row r="298" spans="2:13">
      <c r="D298" s="12"/>
      <c r="H298" s="15"/>
      <c r="I298" s="25"/>
    </row>
    <row r="299" spans="2:13">
      <c r="D299" s="12"/>
      <c r="H299" s="15"/>
      <c r="I299" s="25"/>
    </row>
    <row r="300" spans="2:13">
      <c r="D300" s="12"/>
      <c r="H300" s="15"/>
      <c r="I300" s="25"/>
    </row>
    <row r="301" spans="2:13">
      <c r="D301" s="12"/>
      <c r="H301" s="15"/>
      <c r="I301" s="25"/>
    </row>
    <row r="302" spans="2:13">
      <c r="D302" s="12"/>
      <c r="H302" s="15"/>
      <c r="I302" s="25"/>
    </row>
    <row r="303" spans="2:13">
      <c r="D303" s="12"/>
      <c r="H303" s="15"/>
      <c r="I303" s="25"/>
    </row>
    <row r="304" spans="2:13">
      <c r="D304" s="12"/>
      <c r="H304" s="15"/>
      <c r="I304" s="25"/>
    </row>
    <row r="305" spans="4:9">
      <c r="D305" s="12"/>
      <c r="H305" s="15"/>
      <c r="I305" s="25"/>
    </row>
    <row r="306" spans="4:9">
      <c r="D306" s="12"/>
      <c r="H306" s="15"/>
      <c r="I306" s="25"/>
    </row>
    <row r="307" spans="4:9">
      <c r="D307" s="12"/>
      <c r="H307" s="15"/>
      <c r="I307" s="25"/>
    </row>
    <row r="308" spans="4:9">
      <c r="D308" s="12"/>
      <c r="H308" s="15"/>
      <c r="I308" s="25"/>
    </row>
    <row r="309" spans="4:9">
      <c r="D309" s="12"/>
      <c r="H309" s="15"/>
      <c r="I309" s="25"/>
    </row>
    <row r="310" spans="4:9">
      <c r="D310" s="12"/>
      <c r="H310" s="15"/>
      <c r="I310" s="25"/>
    </row>
    <row r="311" spans="4:9">
      <c r="D311" s="12"/>
      <c r="H311" s="15"/>
      <c r="I311" s="25"/>
    </row>
    <row r="312" spans="4:9">
      <c r="D312" s="12"/>
      <c r="H312" s="15"/>
      <c r="I312" s="25"/>
    </row>
    <row r="313" spans="4:9">
      <c r="D313" s="12"/>
      <c r="H313" s="15"/>
      <c r="I313" s="25"/>
    </row>
    <row r="314" spans="4:9">
      <c r="D314" s="12"/>
      <c r="H314" s="15"/>
      <c r="I314" s="25"/>
    </row>
    <row r="315" spans="4:9">
      <c r="D315" s="12"/>
      <c r="H315" s="15"/>
      <c r="I315" s="25"/>
    </row>
    <row r="316" spans="4:9">
      <c r="D316" s="12"/>
      <c r="H316" s="15"/>
      <c r="I316" s="25"/>
    </row>
    <row r="317" spans="4:9">
      <c r="D317" s="12"/>
      <c r="H317" s="15"/>
      <c r="I317" s="25"/>
    </row>
    <row r="318" spans="4:9">
      <c r="D318" s="12"/>
      <c r="H318" s="15"/>
      <c r="I318" s="25"/>
    </row>
    <row r="319" spans="4:9">
      <c r="D319" s="12"/>
      <c r="H319" s="15"/>
      <c r="I319" s="25"/>
    </row>
    <row r="320" spans="4:9">
      <c r="D320" s="12"/>
      <c r="H320" s="15"/>
      <c r="I320" s="25"/>
    </row>
    <row r="321" spans="4:9">
      <c r="D321" s="12"/>
      <c r="H321" s="15"/>
      <c r="I321" s="25"/>
    </row>
    <row r="322" spans="4:9">
      <c r="D322" s="12"/>
      <c r="H322" s="15"/>
      <c r="I322" s="25"/>
    </row>
    <row r="323" spans="4:9">
      <c r="D323" s="12"/>
      <c r="H323" s="15"/>
      <c r="I323" s="25"/>
    </row>
    <row r="324" spans="4:9">
      <c r="D324" s="12"/>
      <c r="H324" s="15"/>
      <c r="I324" s="25"/>
    </row>
    <row r="325" spans="4:9">
      <c r="D325" s="12"/>
      <c r="H325" s="15"/>
      <c r="I325" s="25"/>
    </row>
    <row r="326" spans="4:9">
      <c r="D326" s="12"/>
      <c r="H326" s="15"/>
      <c r="I326" s="25"/>
    </row>
    <row r="327" spans="4:9">
      <c r="D327" s="12"/>
      <c r="H327" s="15"/>
      <c r="I327" s="25"/>
    </row>
    <row r="328" spans="4:9">
      <c r="D328" s="12"/>
      <c r="H328" s="15"/>
      <c r="I328" s="25"/>
    </row>
    <row r="329" spans="4:9">
      <c r="D329" s="12"/>
      <c r="H329" s="15"/>
      <c r="I329" s="25"/>
    </row>
    <row r="330" spans="4:9">
      <c r="D330" s="12"/>
      <c r="H330" s="15"/>
      <c r="I330" s="25"/>
    </row>
    <row r="331" spans="4:9">
      <c r="D331" s="12"/>
      <c r="H331" s="15"/>
      <c r="I331" s="25"/>
    </row>
    <row r="332" spans="4:9">
      <c r="D332" s="12"/>
      <c r="H332" s="15"/>
      <c r="I332" s="25"/>
    </row>
    <row r="333" spans="4:9">
      <c r="D333" s="12"/>
      <c r="H333" s="15"/>
      <c r="I333" s="25"/>
    </row>
    <row r="334" spans="4:9">
      <c r="D334" s="12"/>
      <c r="H334" s="15"/>
      <c r="I334" s="25"/>
    </row>
    <row r="335" spans="4:9">
      <c r="D335" s="12"/>
      <c r="H335" s="15"/>
      <c r="I335" s="25"/>
    </row>
    <row r="336" spans="4:9">
      <c r="D336" s="12"/>
      <c r="H336" s="15"/>
      <c r="I336" s="25"/>
    </row>
    <row r="337" spans="4:9">
      <c r="D337" s="12"/>
      <c r="H337" s="15"/>
      <c r="I337" s="25"/>
    </row>
    <row r="338" spans="4:9">
      <c r="D338" s="12"/>
      <c r="H338" s="15"/>
      <c r="I338" s="25"/>
    </row>
    <row r="339" spans="4:9">
      <c r="D339" s="12"/>
      <c r="H339" s="15"/>
      <c r="I339" s="25"/>
    </row>
    <row r="340" spans="4:9">
      <c r="D340" s="12"/>
      <c r="H340" s="15"/>
      <c r="I340" s="25"/>
    </row>
    <row r="341" spans="4:9">
      <c r="D341" s="12"/>
      <c r="H341" s="15"/>
      <c r="I341" s="25"/>
    </row>
    <row r="342" spans="4:9">
      <c r="D342" s="12"/>
      <c r="H342" s="15"/>
      <c r="I342" s="25"/>
    </row>
    <row r="343" spans="4:9">
      <c r="D343" s="12"/>
      <c r="H343" s="15"/>
      <c r="I343" s="25"/>
    </row>
    <row r="344" spans="4:9">
      <c r="D344" s="12"/>
      <c r="H344" s="15"/>
      <c r="I344" s="25"/>
    </row>
    <row r="345" spans="4:9">
      <c r="D345" s="12"/>
      <c r="H345" s="15"/>
      <c r="I345" s="25"/>
    </row>
    <row r="346" spans="4:9">
      <c r="D346" s="12"/>
      <c r="H346" s="15"/>
      <c r="I346" s="25"/>
    </row>
    <row r="347" spans="4:9">
      <c r="D347" s="12"/>
      <c r="H347" s="15"/>
      <c r="I347" s="25"/>
    </row>
    <row r="348" spans="4:9">
      <c r="D348" s="12"/>
      <c r="H348" s="15"/>
      <c r="I348" s="25"/>
    </row>
    <row r="349" spans="4:9">
      <c r="D349" s="12"/>
      <c r="H349" s="15"/>
      <c r="I349" s="25"/>
    </row>
    <row r="350" spans="4:9">
      <c r="D350" s="12"/>
      <c r="H350" s="15"/>
      <c r="I350" s="25"/>
    </row>
    <row r="351" spans="4:9">
      <c r="D351" s="12"/>
      <c r="H351" s="15"/>
      <c r="I351" s="25"/>
    </row>
    <row r="352" spans="4:9">
      <c r="D352" s="12"/>
      <c r="H352" s="15"/>
      <c r="I352" s="25"/>
    </row>
    <row r="353" spans="4:9">
      <c r="D353" s="12"/>
      <c r="H353" s="15"/>
      <c r="I353" s="25"/>
    </row>
    <row r="354" spans="4:9">
      <c r="D354" s="12"/>
      <c r="H354" s="15"/>
      <c r="I354" s="25"/>
    </row>
    <row r="355" spans="4:9">
      <c r="D355" s="12"/>
      <c r="H355" s="15"/>
      <c r="I355" s="25"/>
    </row>
    <row r="356" spans="4:9">
      <c r="D356" s="12"/>
      <c r="H356" s="15"/>
      <c r="I356" s="25"/>
    </row>
    <row r="357" spans="4:9">
      <c r="D357" s="12"/>
      <c r="H357" s="15"/>
      <c r="I357" s="25"/>
    </row>
    <row r="358" spans="4:9">
      <c r="D358" s="12"/>
      <c r="H358" s="15"/>
      <c r="I358" s="25"/>
    </row>
    <row r="359" spans="4:9">
      <c r="D359" s="12"/>
      <c r="H359" s="15"/>
      <c r="I359" s="25"/>
    </row>
    <row r="360" spans="4:9">
      <c r="D360" s="12"/>
      <c r="H360" s="15"/>
      <c r="I360" s="25"/>
    </row>
    <row r="361" spans="4:9">
      <c r="D361" s="12"/>
      <c r="H361" s="15"/>
      <c r="I361" s="25"/>
    </row>
    <row r="362" spans="4:9">
      <c r="D362" s="12"/>
      <c r="H362" s="15"/>
      <c r="I362" s="25"/>
    </row>
    <row r="363" spans="4:9">
      <c r="D363" s="12"/>
      <c r="H363" s="15"/>
      <c r="I363" s="25"/>
    </row>
    <row r="364" spans="4:9">
      <c r="D364" s="12"/>
      <c r="H364" s="15"/>
      <c r="I364" s="25"/>
    </row>
    <row r="365" spans="4:9">
      <c r="D365" s="12"/>
      <c r="H365" s="15"/>
      <c r="I365" s="25"/>
    </row>
    <row r="366" spans="4:9">
      <c r="D366" s="12"/>
      <c r="H366" s="15"/>
      <c r="I366" s="25"/>
    </row>
    <row r="367" spans="4:9">
      <c r="D367" s="12"/>
      <c r="H367" s="15"/>
      <c r="I367" s="25"/>
    </row>
    <row r="368" spans="4:9">
      <c r="D368" s="12"/>
      <c r="H368" s="15"/>
      <c r="I368" s="25"/>
    </row>
    <row r="369" spans="4:9">
      <c r="D369" s="12"/>
      <c r="H369" s="15"/>
      <c r="I369" s="25"/>
    </row>
    <row r="370" spans="4:9">
      <c r="D370" s="12"/>
      <c r="H370" s="15"/>
      <c r="I370" s="25"/>
    </row>
    <row r="371" spans="4:9">
      <c r="D371" s="12"/>
      <c r="H371" s="15"/>
      <c r="I371" s="25"/>
    </row>
    <row r="372" spans="4:9">
      <c r="D372" s="12"/>
      <c r="H372" s="15"/>
      <c r="I372" s="25"/>
    </row>
    <row r="373" spans="4:9">
      <c r="D373" s="12"/>
      <c r="H373" s="15"/>
      <c r="I373" s="25"/>
    </row>
    <row r="374" spans="4:9">
      <c r="D374" s="12"/>
      <c r="H374" s="15"/>
      <c r="I374" s="25"/>
    </row>
    <row r="375" spans="4:9">
      <c r="D375" s="12"/>
      <c r="H375" s="15"/>
      <c r="I375" s="25"/>
    </row>
    <row r="376" spans="4:9">
      <c r="D376" s="12"/>
      <c r="H376" s="15"/>
      <c r="I376" s="25"/>
    </row>
    <row r="377" spans="4:9">
      <c r="D377" s="12"/>
      <c r="H377" s="15"/>
      <c r="I377" s="25"/>
    </row>
    <row r="378" spans="4:9">
      <c r="D378" s="12"/>
      <c r="H378" s="15"/>
      <c r="I378" s="25"/>
    </row>
    <row r="379" spans="4:9">
      <c r="D379" s="12"/>
      <c r="H379" s="15"/>
      <c r="I379" s="25"/>
    </row>
    <row r="380" spans="4:9">
      <c r="D380" s="12"/>
      <c r="H380" s="15"/>
      <c r="I380" s="25"/>
    </row>
    <row r="381" spans="4:9">
      <c r="D381" s="12"/>
      <c r="H381" s="15"/>
      <c r="I381" s="25"/>
    </row>
    <row r="382" spans="4:9">
      <c r="D382" s="12"/>
      <c r="H382" s="15"/>
      <c r="I382" s="25"/>
    </row>
    <row r="383" spans="4:9">
      <c r="D383" s="12"/>
      <c r="H383" s="15"/>
      <c r="I383" s="25"/>
    </row>
    <row r="384" spans="4:9">
      <c r="D384" s="12"/>
      <c r="H384" s="15"/>
      <c r="I384" s="25"/>
    </row>
    <row r="385" spans="4:9">
      <c r="D385" s="12"/>
      <c r="H385" s="15"/>
      <c r="I385" s="25"/>
    </row>
    <row r="386" spans="4:9">
      <c r="D386" s="12"/>
      <c r="H386" s="15"/>
      <c r="I386" s="25"/>
    </row>
    <row r="387" spans="4:9">
      <c r="D387" s="12"/>
      <c r="H387" s="15"/>
      <c r="I387" s="25"/>
    </row>
    <row r="388" spans="4:9">
      <c r="D388" s="12"/>
      <c r="H388" s="15"/>
      <c r="I388" s="25"/>
    </row>
    <row r="389" spans="4:9">
      <c r="D389" s="12"/>
      <c r="H389" s="15"/>
      <c r="I389" s="25"/>
    </row>
    <row r="390" spans="4:9">
      <c r="D390" s="12"/>
      <c r="H390" s="15"/>
      <c r="I390" s="25"/>
    </row>
    <row r="391" spans="4:9">
      <c r="D391" s="12"/>
      <c r="H391" s="15"/>
      <c r="I391" s="25"/>
    </row>
    <row r="392" spans="4:9">
      <c r="D392" s="12"/>
      <c r="H392" s="15"/>
      <c r="I392" s="25"/>
    </row>
    <row r="393" spans="4:9">
      <c r="D393" s="12"/>
      <c r="H393" s="15"/>
      <c r="I393" s="25"/>
    </row>
    <row r="394" spans="4:9">
      <c r="D394" s="12"/>
      <c r="H394" s="15"/>
      <c r="I394" s="25"/>
    </row>
    <row r="395" spans="4:9">
      <c r="D395" s="12"/>
      <c r="H395" s="15"/>
      <c r="I395" s="25"/>
    </row>
    <row r="396" spans="4:9">
      <c r="D396" s="12"/>
      <c r="H396" s="15"/>
      <c r="I396" s="25"/>
    </row>
    <row r="397" spans="4:9">
      <c r="D397" s="12"/>
      <c r="H397" s="15"/>
      <c r="I397" s="25"/>
    </row>
    <row r="398" spans="4:9">
      <c r="D398" s="12"/>
      <c r="H398" s="15"/>
      <c r="I398" s="25"/>
    </row>
    <row r="399" spans="4:9">
      <c r="D399" s="12"/>
      <c r="H399" s="15"/>
      <c r="I399" s="25"/>
    </row>
    <row r="400" spans="4:9">
      <c r="D400" s="12"/>
      <c r="H400" s="15"/>
      <c r="I400" s="25"/>
    </row>
    <row r="401" spans="4:9">
      <c r="D401" s="12"/>
      <c r="H401" s="15"/>
      <c r="I401" s="25"/>
    </row>
    <row r="402" spans="4:9">
      <c r="D402" s="12"/>
      <c r="H402" s="15"/>
      <c r="I402" s="25"/>
    </row>
    <row r="403" spans="4:9">
      <c r="D403" s="12"/>
      <c r="H403" s="15"/>
      <c r="I403" s="25"/>
    </row>
    <row r="404" spans="4:9">
      <c r="D404" s="12"/>
      <c r="H404" s="15"/>
      <c r="I404" s="25"/>
    </row>
    <row r="405" spans="4:9">
      <c r="D405" s="12"/>
      <c r="H405" s="15"/>
      <c r="I405" s="25"/>
    </row>
    <row r="406" spans="4:9">
      <c r="D406" s="12"/>
      <c r="H406" s="15"/>
      <c r="I406" s="25"/>
    </row>
    <row r="407" spans="4:9">
      <c r="D407" s="12"/>
      <c r="H407" s="15"/>
      <c r="I407" s="25"/>
    </row>
    <row r="408" spans="4:9">
      <c r="D408" s="12"/>
      <c r="H408" s="15"/>
      <c r="I408" s="25"/>
    </row>
    <row r="409" spans="4:9">
      <c r="D409" s="12"/>
      <c r="H409" s="15"/>
      <c r="I409" s="25"/>
    </row>
    <row r="410" spans="4:9">
      <c r="D410" s="12"/>
      <c r="H410" s="15"/>
      <c r="I410" s="25"/>
    </row>
    <row r="411" spans="4:9">
      <c r="D411" s="12"/>
      <c r="H411" s="15"/>
      <c r="I411" s="25"/>
    </row>
    <row r="412" spans="4:9">
      <c r="D412" s="12"/>
      <c r="H412" s="15"/>
      <c r="I412" s="25"/>
    </row>
    <row r="413" spans="4:9">
      <c r="D413" s="12"/>
      <c r="H413" s="15"/>
      <c r="I413" s="25"/>
    </row>
    <row r="414" spans="4:9">
      <c r="D414" s="12"/>
      <c r="H414" s="15"/>
      <c r="I414" s="25"/>
    </row>
    <row r="415" spans="4:9">
      <c r="D415" s="12"/>
      <c r="H415" s="15"/>
      <c r="I415" s="25"/>
    </row>
    <row r="416" spans="4:9">
      <c r="D416" s="12"/>
      <c r="H416" s="15"/>
      <c r="I416" s="25"/>
    </row>
    <row r="417" spans="4:9">
      <c r="D417" s="12"/>
      <c r="H417" s="15"/>
      <c r="I417" s="25"/>
    </row>
    <row r="418" spans="4:9">
      <c r="D418" s="12"/>
      <c r="H418" s="15"/>
      <c r="I418" s="25"/>
    </row>
    <row r="419" spans="4:9">
      <c r="D419" s="12"/>
      <c r="H419" s="15"/>
      <c r="I419" s="25"/>
    </row>
    <row r="420" spans="4:9">
      <c r="D420" s="12"/>
      <c r="H420" s="15"/>
      <c r="I420" s="25"/>
    </row>
    <row r="421" spans="4:9">
      <c r="D421" s="12"/>
      <c r="H421" s="15"/>
      <c r="I421" s="25"/>
    </row>
    <row r="422" spans="4:9">
      <c r="D422" s="12"/>
      <c r="H422" s="15"/>
      <c r="I422" s="25"/>
    </row>
    <row r="423" spans="4:9">
      <c r="D423" s="12"/>
      <c r="H423" s="15"/>
      <c r="I423" s="25"/>
    </row>
    <row r="424" spans="4:9">
      <c r="D424" s="12"/>
      <c r="H424" s="15"/>
      <c r="I424" s="25"/>
    </row>
    <row r="425" spans="4:9">
      <c r="D425" s="12"/>
      <c r="H425" s="15"/>
      <c r="I425" s="25"/>
    </row>
    <row r="426" spans="4:9">
      <c r="D426" s="12"/>
      <c r="H426" s="15"/>
      <c r="I426" s="25"/>
    </row>
    <row r="427" spans="4:9">
      <c r="D427" s="12"/>
      <c r="H427" s="15"/>
      <c r="I427" s="25"/>
    </row>
    <row r="428" spans="4:9">
      <c r="D428" s="12"/>
      <c r="H428" s="15"/>
      <c r="I428" s="25"/>
    </row>
    <row r="429" spans="4:9">
      <c r="D429" s="12"/>
      <c r="H429" s="15"/>
      <c r="I429" s="25"/>
    </row>
    <row r="430" spans="4:9">
      <c r="D430" s="12"/>
      <c r="H430" s="15"/>
      <c r="I430" s="25"/>
    </row>
    <row r="431" spans="4:9">
      <c r="D431" s="12"/>
      <c r="H431" s="15"/>
      <c r="I431" s="25"/>
    </row>
    <row r="432" spans="4:9">
      <c r="D432" s="12"/>
      <c r="H432" s="15"/>
      <c r="I432" s="25"/>
    </row>
    <row r="433" spans="4:9">
      <c r="D433" s="12"/>
      <c r="H433" s="15"/>
      <c r="I433" s="25"/>
    </row>
    <row r="434" spans="4:9">
      <c r="D434" s="12"/>
      <c r="H434" s="15"/>
      <c r="I434" s="25"/>
    </row>
    <row r="435" spans="4:9">
      <c r="D435" s="12"/>
      <c r="H435" s="15"/>
      <c r="I435" s="25"/>
    </row>
    <row r="436" spans="4:9">
      <c r="D436" s="12"/>
      <c r="H436" s="15"/>
      <c r="I436" s="25"/>
    </row>
    <row r="437" spans="4:9">
      <c r="D437" s="12"/>
      <c r="H437" s="15"/>
      <c r="I437" s="25"/>
    </row>
    <row r="438" spans="4:9">
      <c r="D438" s="12"/>
      <c r="H438" s="15"/>
      <c r="I438" s="25"/>
    </row>
    <row r="439" spans="4:9">
      <c r="D439" s="12"/>
      <c r="H439" s="15"/>
      <c r="I439" s="25"/>
    </row>
    <row r="440" spans="4:9">
      <c r="D440" s="12"/>
      <c r="H440" s="15"/>
      <c r="I440" s="25"/>
    </row>
    <row r="441" spans="4:9">
      <c r="D441" s="12"/>
      <c r="H441" s="15"/>
      <c r="I441" s="25"/>
    </row>
    <row r="442" spans="4:9">
      <c r="D442" s="12"/>
      <c r="H442" s="15"/>
      <c r="I442" s="25"/>
    </row>
    <row r="443" spans="4:9">
      <c r="D443" s="12"/>
      <c r="H443" s="15"/>
      <c r="I443" s="25"/>
    </row>
    <row r="444" spans="4:9">
      <c r="D444" s="12"/>
      <c r="H444" s="15"/>
      <c r="I444" s="25"/>
    </row>
    <row r="445" spans="4:9">
      <c r="D445" s="12"/>
      <c r="H445" s="15"/>
      <c r="I445" s="25"/>
    </row>
    <row r="446" spans="4:9">
      <c r="D446" s="12"/>
      <c r="H446" s="15"/>
      <c r="I446" s="25"/>
    </row>
    <row r="447" spans="4:9">
      <c r="D447" s="12"/>
      <c r="H447" s="15"/>
      <c r="I447" s="25"/>
    </row>
    <row r="448" spans="4:9">
      <c r="D448" s="12"/>
      <c r="H448" s="15"/>
      <c r="I448" s="25"/>
    </row>
    <row r="449" spans="4:9">
      <c r="D449" s="12"/>
      <c r="H449" s="15"/>
      <c r="I449" s="25"/>
    </row>
    <row r="450" spans="4:9">
      <c r="D450" s="12"/>
      <c r="H450" s="15"/>
      <c r="I450" s="25"/>
    </row>
    <row r="451" spans="4:9">
      <c r="D451" s="12"/>
      <c r="H451" s="15"/>
      <c r="I451" s="25"/>
    </row>
    <row r="452" spans="4:9">
      <c r="D452" s="12"/>
      <c r="H452" s="15"/>
      <c r="I452" s="25"/>
    </row>
    <row r="453" spans="4:9">
      <c r="D453" s="12"/>
      <c r="H453" s="15"/>
      <c r="I453" s="25"/>
    </row>
    <row r="454" spans="4:9">
      <c r="D454" s="12"/>
      <c r="H454" s="15"/>
      <c r="I454" s="25"/>
    </row>
    <row r="455" spans="4:9">
      <c r="D455" s="12"/>
      <c r="H455" s="15"/>
      <c r="I455" s="25"/>
    </row>
    <row r="456" spans="4:9">
      <c r="D456" s="12"/>
      <c r="H456" s="15"/>
      <c r="I456" s="25"/>
    </row>
    <row r="457" spans="4:9">
      <c r="D457" s="12"/>
      <c r="H457" s="15"/>
      <c r="I457" s="25"/>
    </row>
    <row r="458" spans="4:9">
      <c r="D458" s="12"/>
      <c r="H458" s="15"/>
      <c r="I458" s="25"/>
    </row>
    <row r="459" spans="4:9">
      <c r="D459" s="12"/>
      <c r="H459" s="15"/>
      <c r="I459" s="25"/>
    </row>
    <row r="460" spans="4:9">
      <c r="D460" s="12"/>
      <c r="H460" s="15"/>
      <c r="I460" s="25"/>
    </row>
    <row r="461" spans="4:9">
      <c r="D461" s="12"/>
      <c r="H461" s="15"/>
      <c r="I461" s="25"/>
    </row>
    <row r="462" spans="4:9">
      <c r="D462" s="12"/>
      <c r="H462" s="15"/>
      <c r="I462" s="25"/>
    </row>
    <row r="463" spans="4:9">
      <c r="D463" s="12"/>
      <c r="H463" s="15"/>
      <c r="I463" s="25"/>
    </row>
    <row r="464" spans="4:9">
      <c r="D464" s="12"/>
      <c r="H464" s="15"/>
      <c r="I464" s="25"/>
    </row>
    <row r="465" spans="4:9">
      <c r="D465" s="12"/>
      <c r="H465" s="15"/>
      <c r="I465" s="25"/>
    </row>
    <row r="466" spans="4:9">
      <c r="D466" s="12"/>
      <c r="H466" s="15"/>
      <c r="I466" s="25"/>
    </row>
    <row r="467" spans="4:9">
      <c r="D467" s="12"/>
      <c r="H467" s="15"/>
      <c r="I467" s="25"/>
    </row>
    <row r="468" spans="4:9">
      <c r="D468" s="12"/>
      <c r="H468" s="15"/>
      <c r="I468" s="25"/>
    </row>
    <row r="469" spans="4:9">
      <c r="D469" s="12"/>
      <c r="H469" s="15"/>
      <c r="I469" s="25"/>
    </row>
    <row r="470" spans="4:9">
      <c r="D470" s="12"/>
      <c r="H470" s="15"/>
      <c r="I470" s="25"/>
    </row>
    <row r="471" spans="4:9">
      <c r="D471" s="12"/>
      <c r="H471" s="15"/>
      <c r="I471" s="25"/>
    </row>
    <row r="472" spans="4:9">
      <c r="D472" s="12"/>
      <c r="H472" s="15"/>
      <c r="I472" s="25"/>
    </row>
    <row r="473" spans="4:9">
      <c r="D473" s="12"/>
      <c r="H473" s="15"/>
      <c r="I473" s="25"/>
    </row>
    <row r="474" spans="4:9">
      <c r="D474" s="12"/>
      <c r="H474" s="15"/>
      <c r="I474" s="25"/>
    </row>
    <row r="475" spans="4:9">
      <c r="D475" s="12"/>
      <c r="H475" s="15"/>
      <c r="I475" s="25"/>
    </row>
    <row r="476" spans="4:9">
      <c r="D476" s="12"/>
      <c r="H476" s="15"/>
      <c r="I476" s="25"/>
    </row>
    <row r="477" spans="4:9">
      <c r="D477" s="12"/>
      <c r="H477" s="15"/>
      <c r="I477" s="25"/>
    </row>
    <row r="478" spans="4:9">
      <c r="D478" s="12"/>
      <c r="H478" s="15"/>
      <c r="I478" s="25"/>
    </row>
    <row r="479" spans="4:9">
      <c r="D479" s="12"/>
      <c r="H479" s="15"/>
      <c r="I479" s="25"/>
    </row>
    <row r="480" spans="4:9">
      <c r="D480" s="12"/>
      <c r="H480" s="15"/>
      <c r="I480" s="25"/>
    </row>
    <row r="481" spans="4:9">
      <c r="D481" s="12"/>
      <c r="H481" s="15"/>
      <c r="I481" s="25"/>
    </row>
    <row r="482" spans="4:9">
      <c r="D482" s="12"/>
      <c r="H482" s="15"/>
      <c r="I482" s="25"/>
    </row>
    <row r="483" spans="4:9">
      <c r="D483" s="12"/>
      <c r="H483" s="15"/>
      <c r="I483" s="25"/>
    </row>
    <row r="484" spans="4:9">
      <c r="D484" s="12"/>
      <c r="H484" s="15"/>
      <c r="I484" s="25"/>
    </row>
    <row r="485" spans="4:9">
      <c r="D485" s="12"/>
      <c r="H485" s="15"/>
      <c r="I485" s="25"/>
    </row>
    <row r="486" spans="4:9">
      <c r="D486" s="12"/>
      <c r="H486" s="15"/>
      <c r="I486" s="25"/>
    </row>
    <row r="487" spans="4:9">
      <c r="D487" s="12"/>
      <c r="H487" s="15"/>
      <c r="I487" s="25"/>
    </row>
    <row r="488" spans="4:9">
      <c r="D488" s="12"/>
      <c r="H488" s="15"/>
      <c r="I488" s="25"/>
    </row>
    <row r="489" spans="4:9">
      <c r="D489" s="12"/>
      <c r="H489" s="15"/>
      <c r="I489" s="25"/>
    </row>
    <row r="490" spans="4:9">
      <c r="D490" s="12"/>
      <c r="H490" s="15"/>
      <c r="I490" s="25"/>
    </row>
    <row r="491" spans="4:9">
      <c r="D491" s="12"/>
      <c r="H491" s="15"/>
      <c r="I491" s="25"/>
    </row>
    <row r="492" spans="4:9">
      <c r="D492" s="12"/>
      <c r="H492" s="15"/>
      <c r="I492" s="25"/>
    </row>
    <row r="493" spans="4:9">
      <c r="D493" s="12"/>
      <c r="H493" s="15"/>
      <c r="I493" s="25"/>
    </row>
    <row r="494" spans="4:9">
      <c r="D494" s="12"/>
      <c r="H494" s="15"/>
      <c r="I494" s="25"/>
    </row>
    <row r="495" spans="4:9">
      <c r="D495" s="12"/>
      <c r="H495" s="15"/>
      <c r="I495" s="25"/>
    </row>
    <row r="496" spans="4:9">
      <c r="D496" s="12"/>
      <c r="H496" s="15"/>
      <c r="I496" s="25"/>
    </row>
    <row r="497" spans="4:9">
      <c r="D497" s="12"/>
      <c r="H497" s="15"/>
      <c r="I497" s="25"/>
    </row>
    <row r="498" spans="4:9">
      <c r="D498" s="12"/>
      <c r="H498" s="15"/>
      <c r="I498" s="25"/>
    </row>
    <row r="499" spans="4:9">
      <c r="D499" s="12"/>
      <c r="H499" s="15"/>
      <c r="I499" s="25"/>
    </row>
    <row r="500" spans="4:9">
      <c r="D500" s="12"/>
      <c r="H500" s="15"/>
      <c r="I500" s="25"/>
    </row>
    <row r="501" spans="4:9">
      <c r="D501" s="12"/>
      <c r="H501" s="15"/>
      <c r="I501" s="25"/>
    </row>
    <row r="502" spans="4:9">
      <c r="D502" s="12"/>
      <c r="H502" s="15"/>
      <c r="I502" s="25"/>
    </row>
    <row r="503" spans="4:9">
      <c r="D503" s="12"/>
      <c r="H503" s="15"/>
      <c r="I503" s="25"/>
    </row>
    <row r="504" spans="4:9">
      <c r="D504" s="12"/>
      <c r="H504" s="15"/>
      <c r="I504" s="25"/>
    </row>
    <row r="505" spans="4:9">
      <c r="D505" s="12"/>
      <c r="H505" s="15"/>
      <c r="I505" s="25"/>
    </row>
    <row r="506" spans="4:9">
      <c r="D506" s="12"/>
      <c r="H506" s="15"/>
      <c r="I506" s="25"/>
    </row>
    <row r="507" spans="4:9">
      <c r="D507" s="12"/>
      <c r="H507" s="15"/>
      <c r="I507" s="25"/>
    </row>
    <row r="508" spans="4:9">
      <c r="D508" s="12"/>
      <c r="H508" s="15"/>
      <c r="I508" s="25"/>
    </row>
    <row r="509" spans="4:9">
      <c r="D509" s="12"/>
      <c r="H509" s="15"/>
      <c r="I509" s="25"/>
    </row>
    <row r="510" spans="4:9">
      <c r="D510" s="12"/>
      <c r="H510" s="15"/>
      <c r="I510" s="25"/>
    </row>
    <row r="511" spans="4:9">
      <c r="D511" s="12"/>
      <c r="H511" s="15"/>
      <c r="I511" s="25"/>
    </row>
    <row r="512" spans="4:9">
      <c r="D512" s="12"/>
      <c r="H512" s="15"/>
      <c r="I512" s="25"/>
    </row>
    <row r="513" spans="4:9">
      <c r="D513" s="12"/>
      <c r="H513" s="15"/>
      <c r="I513" s="25"/>
    </row>
    <row r="514" spans="4:9">
      <c r="D514" s="12"/>
      <c r="H514" s="15"/>
      <c r="I514" s="25"/>
    </row>
    <row r="515" spans="4:9">
      <c r="D515" s="12"/>
      <c r="H515" s="15"/>
      <c r="I515" s="25"/>
    </row>
    <row r="516" spans="4:9">
      <c r="D516" s="12"/>
      <c r="H516" s="15"/>
      <c r="I516" s="25"/>
    </row>
    <row r="517" spans="4:9">
      <c r="D517" s="12"/>
      <c r="H517" s="15"/>
      <c r="I517" s="25"/>
    </row>
    <row r="518" spans="4:9">
      <c r="D518" s="12"/>
      <c r="H518" s="15"/>
      <c r="I518" s="25"/>
    </row>
    <row r="519" spans="4:9">
      <c r="D519" s="12"/>
      <c r="H519" s="15"/>
      <c r="I519" s="25"/>
    </row>
    <row r="520" spans="4:9">
      <c r="D520" s="12"/>
      <c r="H520" s="15"/>
      <c r="I520" s="25"/>
    </row>
    <row r="521" spans="4:9">
      <c r="D521" s="12"/>
      <c r="H521" s="15"/>
      <c r="I521" s="25"/>
    </row>
    <row r="522" spans="4:9">
      <c r="D522" s="12"/>
      <c r="H522" s="15"/>
      <c r="I522" s="25"/>
    </row>
    <row r="523" spans="4:9">
      <c r="D523" s="12"/>
      <c r="H523" s="15"/>
      <c r="I523" s="25"/>
    </row>
    <row r="524" spans="4:9">
      <c r="D524" s="12"/>
      <c r="H524" s="15"/>
      <c r="I524" s="25"/>
    </row>
    <row r="525" spans="4:9">
      <c r="D525" s="12"/>
      <c r="H525" s="15"/>
      <c r="I525" s="25"/>
    </row>
    <row r="526" spans="4:9">
      <c r="D526" s="12"/>
      <c r="H526" s="15"/>
      <c r="I526" s="25"/>
    </row>
    <row r="527" spans="4:9">
      <c r="D527" s="12"/>
      <c r="H527" s="15"/>
      <c r="I527" s="25"/>
    </row>
    <row r="528" spans="4:9">
      <c r="D528" s="12"/>
      <c r="H528" s="15"/>
      <c r="I528" s="25"/>
    </row>
    <row r="529" spans="4:9">
      <c r="D529" s="12"/>
      <c r="H529" s="15"/>
      <c r="I529" s="25"/>
    </row>
    <row r="530" spans="4:9">
      <c r="D530" s="12"/>
      <c r="H530" s="15"/>
      <c r="I530" s="25"/>
    </row>
    <row r="531" spans="4:9">
      <c r="D531" s="12"/>
      <c r="H531" s="15"/>
      <c r="I531" s="25"/>
    </row>
    <row r="532" spans="4:9">
      <c r="D532" s="12"/>
      <c r="H532" s="15"/>
      <c r="I532" s="25"/>
    </row>
    <row r="533" spans="4:9">
      <c r="D533" s="12"/>
      <c r="H533" s="15"/>
      <c r="I533" s="25"/>
    </row>
    <row r="534" spans="4:9">
      <c r="D534" s="12"/>
      <c r="H534" s="15"/>
      <c r="I534" s="25"/>
    </row>
    <row r="535" spans="4:9">
      <c r="D535" s="12"/>
      <c r="H535" s="15"/>
      <c r="I535" s="25"/>
    </row>
    <row r="536" spans="4:9">
      <c r="D536" s="12"/>
      <c r="H536" s="15"/>
      <c r="I536" s="25"/>
    </row>
    <row r="537" spans="4:9">
      <c r="D537" s="12"/>
      <c r="H537" s="15"/>
      <c r="I537" s="25"/>
    </row>
    <row r="538" spans="4:9">
      <c r="D538" s="12"/>
      <c r="H538" s="15"/>
      <c r="I538" s="25"/>
    </row>
    <row r="539" spans="4:9">
      <c r="D539" s="12"/>
      <c r="H539" s="15"/>
      <c r="I539" s="25"/>
    </row>
    <row r="540" spans="4:9">
      <c r="D540" s="12"/>
      <c r="H540" s="15"/>
      <c r="I540" s="25"/>
    </row>
    <row r="541" spans="4:9">
      <c r="D541" s="12"/>
      <c r="H541" s="15"/>
      <c r="I541" s="25"/>
    </row>
    <row r="542" spans="4:9">
      <c r="D542" s="12"/>
      <c r="H542" s="15"/>
      <c r="I542" s="25"/>
    </row>
    <row r="543" spans="4:9">
      <c r="D543" s="12"/>
      <c r="H543" s="15"/>
      <c r="I543" s="25"/>
    </row>
    <row r="544" spans="4:9">
      <c r="D544" s="12"/>
      <c r="H544" s="15"/>
      <c r="I544" s="25"/>
    </row>
    <row r="545" spans="4:9">
      <c r="D545" s="12"/>
      <c r="H545" s="15"/>
      <c r="I545" s="25"/>
    </row>
    <row r="546" spans="4:9">
      <c r="D546" s="12"/>
      <c r="H546" s="15"/>
      <c r="I546" s="25"/>
    </row>
    <row r="547" spans="4:9">
      <c r="D547" s="12"/>
      <c r="H547" s="15"/>
      <c r="I547" s="25"/>
    </row>
    <row r="548" spans="4:9">
      <c r="D548" s="12"/>
      <c r="H548" s="15"/>
      <c r="I548" s="25"/>
    </row>
    <row r="549" spans="4:9">
      <c r="D549" s="12"/>
      <c r="H549" s="15"/>
      <c r="I549" s="25"/>
    </row>
    <row r="550" spans="4:9">
      <c r="D550" s="12"/>
      <c r="H550" s="15"/>
      <c r="I550" s="25"/>
    </row>
    <row r="551" spans="4:9">
      <c r="D551" s="12"/>
      <c r="H551" s="15"/>
      <c r="I551" s="25"/>
    </row>
    <row r="552" spans="4:9">
      <c r="D552" s="12"/>
      <c r="H552" s="15"/>
      <c r="I552" s="25"/>
    </row>
    <row r="553" spans="4:9">
      <c r="D553" s="12"/>
      <c r="H553" s="15"/>
      <c r="I553" s="25"/>
    </row>
    <row r="554" spans="4:9">
      <c r="D554" s="12"/>
      <c r="H554" s="15"/>
      <c r="I554" s="25"/>
    </row>
    <row r="555" spans="4:9">
      <c r="D555" s="12"/>
      <c r="H555" s="15"/>
      <c r="I555" s="25"/>
    </row>
    <row r="556" spans="4:9">
      <c r="D556" s="12"/>
      <c r="H556" s="15"/>
      <c r="I556" s="25"/>
    </row>
    <row r="557" spans="4:9">
      <c r="D557" s="12"/>
      <c r="H557" s="15"/>
      <c r="I557" s="25"/>
    </row>
    <row r="558" spans="4:9">
      <c r="D558" s="12"/>
      <c r="H558" s="15"/>
      <c r="I558" s="25"/>
    </row>
    <row r="559" spans="4:9">
      <c r="D559" s="12"/>
      <c r="H559" s="15"/>
      <c r="I559" s="25"/>
    </row>
    <row r="560" spans="4:9">
      <c r="D560" s="12"/>
      <c r="H560" s="15"/>
      <c r="I560" s="25"/>
    </row>
    <row r="561" spans="4:9">
      <c r="D561" s="12"/>
      <c r="H561" s="15"/>
      <c r="I561" s="25"/>
    </row>
    <row r="562" spans="4:9">
      <c r="D562" s="12"/>
      <c r="H562" s="15"/>
      <c r="I562" s="25"/>
    </row>
    <row r="563" spans="4:9">
      <c r="D563" s="12"/>
      <c r="H563" s="15"/>
      <c r="I563" s="25"/>
    </row>
    <row r="564" spans="4:9">
      <c r="D564" s="12"/>
      <c r="H564" s="15"/>
      <c r="I564" s="25"/>
    </row>
    <row r="565" spans="4:9">
      <c r="D565" s="12"/>
      <c r="H565" s="15"/>
      <c r="I565" s="25"/>
    </row>
    <row r="566" spans="4:9">
      <c r="D566" s="12"/>
      <c r="H566" s="15"/>
      <c r="I566" s="25"/>
    </row>
    <row r="567" spans="4:9">
      <c r="D567" s="12"/>
      <c r="H567" s="15"/>
      <c r="I567" s="25"/>
    </row>
    <row r="568" spans="4:9">
      <c r="D568" s="12"/>
      <c r="H568" s="15"/>
      <c r="I568" s="25"/>
    </row>
    <row r="569" spans="4:9">
      <c r="D569" s="12"/>
      <c r="H569" s="15"/>
      <c r="I569" s="25"/>
    </row>
    <row r="570" spans="4:9">
      <c r="D570" s="12"/>
      <c r="H570" s="15"/>
      <c r="I570" s="25"/>
    </row>
    <row r="571" spans="4:9">
      <c r="D571" s="12"/>
      <c r="H571" s="15"/>
      <c r="I571" s="25"/>
    </row>
    <row r="572" spans="4:9">
      <c r="D572" s="12"/>
      <c r="H572" s="15"/>
      <c r="I572" s="25"/>
    </row>
    <row r="573" spans="4:9">
      <c r="D573" s="12"/>
      <c r="H573" s="15"/>
      <c r="I573" s="25"/>
    </row>
    <row r="574" spans="4:9">
      <c r="D574" s="12"/>
      <c r="H574" s="15"/>
      <c r="I574" s="25"/>
    </row>
    <row r="575" spans="4:9">
      <c r="D575" s="12"/>
      <c r="H575" s="15"/>
      <c r="I575" s="25"/>
    </row>
    <row r="576" spans="4:9">
      <c r="D576" s="12"/>
      <c r="H576" s="15"/>
      <c r="I576" s="25"/>
    </row>
    <row r="577" spans="4:9">
      <c r="D577" s="12"/>
      <c r="H577" s="15"/>
      <c r="I577" s="25"/>
    </row>
    <row r="578" spans="4:9">
      <c r="D578" s="12"/>
      <c r="H578" s="15"/>
      <c r="I578" s="25"/>
    </row>
    <row r="579" spans="4:9">
      <c r="D579" s="12"/>
      <c r="H579" s="15"/>
      <c r="I579" s="25"/>
    </row>
    <row r="580" spans="4:9">
      <c r="D580" s="12"/>
      <c r="H580" s="15"/>
      <c r="I580" s="25"/>
    </row>
    <row r="581" spans="4:9">
      <c r="D581" s="12"/>
      <c r="H581" s="15"/>
      <c r="I581" s="25"/>
    </row>
    <row r="582" spans="4:9">
      <c r="D582" s="12"/>
      <c r="H582" s="15"/>
      <c r="I582" s="25"/>
    </row>
    <row r="583" spans="4:9">
      <c r="D583" s="12"/>
      <c r="H583" s="15"/>
      <c r="I583" s="25"/>
    </row>
    <row r="584" spans="4:9">
      <c r="D584" s="12"/>
      <c r="H584" s="15"/>
      <c r="I584" s="25"/>
    </row>
    <row r="585" spans="4:9">
      <c r="D585" s="12"/>
      <c r="H585" s="15"/>
      <c r="I585" s="25"/>
    </row>
    <row r="586" spans="4:9">
      <c r="D586" s="12"/>
      <c r="H586" s="15"/>
      <c r="I586" s="25"/>
    </row>
    <row r="587" spans="4:9">
      <c r="D587" s="12"/>
      <c r="H587" s="15"/>
      <c r="I587" s="25"/>
    </row>
    <row r="588" spans="4:9">
      <c r="D588" s="12"/>
      <c r="H588" s="15"/>
      <c r="I588" s="25"/>
    </row>
    <row r="589" spans="4:9">
      <c r="D589" s="12"/>
      <c r="H589" s="15"/>
      <c r="I589" s="25"/>
    </row>
    <row r="590" spans="4:9">
      <c r="D590" s="12"/>
      <c r="H590" s="15"/>
      <c r="I590" s="25"/>
    </row>
    <row r="591" spans="4:9">
      <c r="D591" s="12"/>
      <c r="H591" s="15"/>
      <c r="I591" s="25"/>
    </row>
    <row r="592" spans="4:9">
      <c r="D592" s="12"/>
      <c r="H592" s="15"/>
      <c r="I592" s="25"/>
    </row>
    <row r="593" spans="4:9">
      <c r="D593" s="12"/>
      <c r="H593" s="15"/>
      <c r="I593" s="25"/>
    </row>
    <row r="594" spans="4:9">
      <c r="D594" s="12"/>
      <c r="H594" s="15"/>
      <c r="I594" s="25"/>
    </row>
    <row r="595" spans="4:9">
      <c r="D595" s="12"/>
      <c r="H595" s="15"/>
      <c r="I595" s="25"/>
    </row>
    <row r="596" spans="4:9">
      <c r="D596" s="12"/>
      <c r="H596" s="15"/>
      <c r="I596" s="25"/>
    </row>
    <row r="597" spans="4:9">
      <c r="D597" s="12"/>
      <c r="H597" s="15"/>
      <c r="I597" s="25"/>
    </row>
    <row r="598" spans="4:9">
      <c r="D598" s="12"/>
      <c r="H598" s="15"/>
      <c r="I598" s="25"/>
    </row>
    <row r="599" spans="4:9">
      <c r="D599" s="12"/>
      <c r="H599" s="15"/>
      <c r="I599" s="25"/>
    </row>
    <row r="600" spans="4:9">
      <c r="D600" s="12"/>
      <c r="H600" s="15"/>
      <c r="I600" s="25"/>
    </row>
    <row r="601" spans="4:9">
      <c r="D601" s="12"/>
      <c r="H601" s="15"/>
      <c r="I601" s="25"/>
    </row>
    <row r="602" spans="4:9">
      <c r="D602" s="12"/>
      <c r="H602" s="15"/>
      <c r="I602" s="25"/>
    </row>
    <row r="603" spans="4:9">
      <c r="D603" s="12"/>
      <c r="H603" s="15"/>
      <c r="I603" s="25"/>
    </row>
    <row r="604" spans="4:9">
      <c r="D604" s="12"/>
      <c r="H604" s="15"/>
      <c r="I604" s="25"/>
    </row>
    <row r="605" spans="4:9">
      <c r="D605" s="12"/>
      <c r="H605" s="15"/>
      <c r="I605" s="25"/>
    </row>
    <row r="606" spans="4:9">
      <c r="D606" s="12"/>
      <c r="H606" s="15"/>
      <c r="I606" s="25"/>
    </row>
    <row r="607" spans="4:9">
      <c r="D607" s="12"/>
      <c r="H607" s="15"/>
      <c r="I607" s="25"/>
    </row>
    <row r="608" spans="4:9">
      <c r="D608" s="12"/>
      <c r="H608" s="15"/>
      <c r="I608" s="25"/>
    </row>
    <row r="609" spans="4:9">
      <c r="D609" s="12"/>
      <c r="H609" s="15"/>
      <c r="I609" s="25"/>
    </row>
    <row r="610" spans="4:9">
      <c r="D610" s="12"/>
      <c r="H610" s="15"/>
      <c r="I610" s="25"/>
    </row>
    <row r="611" spans="4:9">
      <c r="D611" s="12"/>
      <c r="H611" s="15"/>
      <c r="I611" s="25"/>
    </row>
    <row r="612" spans="4:9">
      <c r="D612" s="12"/>
      <c r="H612" s="15"/>
      <c r="I612" s="25"/>
    </row>
    <row r="613" spans="4:9">
      <c r="D613" s="12"/>
      <c r="H613" s="15"/>
      <c r="I613" s="25"/>
    </row>
    <row r="614" spans="4:9">
      <c r="D614" s="12"/>
      <c r="H614" s="15"/>
      <c r="I614" s="25"/>
    </row>
    <row r="615" spans="4:9">
      <c r="D615" s="12"/>
      <c r="H615" s="15"/>
      <c r="I615" s="25"/>
    </row>
    <row r="616" spans="4:9">
      <c r="D616" s="12"/>
      <c r="H616" s="15"/>
      <c r="I616" s="25"/>
    </row>
    <row r="617" spans="4:9">
      <c r="D617" s="12"/>
      <c r="H617" s="15"/>
      <c r="I617" s="25"/>
    </row>
    <row r="618" spans="4:9">
      <c r="D618" s="12"/>
      <c r="H618" s="15"/>
      <c r="I618" s="25"/>
    </row>
    <row r="619" spans="4:9">
      <c r="D619" s="12"/>
      <c r="H619" s="15"/>
      <c r="I619" s="25"/>
    </row>
    <row r="620" spans="4:9">
      <c r="D620" s="12"/>
      <c r="H620" s="15"/>
      <c r="I620" s="25"/>
    </row>
    <row r="621" spans="4:9">
      <c r="D621" s="12"/>
      <c r="H621" s="15"/>
      <c r="I621" s="25"/>
    </row>
    <row r="622" spans="4:9">
      <c r="D622" s="12"/>
      <c r="H622" s="15"/>
      <c r="I622" s="25"/>
    </row>
    <row r="623" spans="4:9">
      <c r="D623" s="12"/>
      <c r="H623" s="15"/>
      <c r="I623" s="25"/>
    </row>
    <row r="624" spans="4:9">
      <c r="D624" s="12"/>
      <c r="H624" s="15"/>
      <c r="I624" s="25"/>
    </row>
    <row r="625" spans="4:9">
      <c r="D625" s="12"/>
      <c r="H625" s="15"/>
      <c r="I625" s="25"/>
    </row>
    <row r="626" spans="4:9">
      <c r="D626" s="12"/>
      <c r="H626" s="15"/>
      <c r="I626" s="25"/>
    </row>
    <row r="627" spans="4:9">
      <c r="D627" s="12"/>
      <c r="H627" s="15"/>
      <c r="I627" s="25"/>
    </row>
    <row r="628" spans="4:9">
      <c r="D628" s="12"/>
      <c r="H628" s="15"/>
      <c r="I628" s="25"/>
    </row>
    <row r="629" spans="4:9">
      <c r="D629" s="12"/>
      <c r="H629" s="15"/>
      <c r="I629" s="25"/>
    </row>
    <row r="630" spans="4:9">
      <c r="D630" s="12"/>
      <c r="H630" s="15"/>
      <c r="I630" s="25"/>
    </row>
    <row r="631" spans="4:9">
      <c r="D631" s="12"/>
      <c r="H631" s="15"/>
      <c r="I631" s="25"/>
    </row>
    <row r="632" spans="4:9">
      <c r="D632" s="12"/>
      <c r="H632" s="15"/>
      <c r="I632" s="25"/>
    </row>
    <row r="633" spans="4:9">
      <c r="D633" s="12"/>
      <c r="H633" s="15"/>
      <c r="I633" s="25"/>
    </row>
    <row r="634" spans="4:9">
      <c r="D634" s="12"/>
      <c r="H634" s="15"/>
      <c r="I634" s="25"/>
    </row>
    <row r="635" spans="4:9">
      <c r="D635" s="12"/>
      <c r="H635" s="15"/>
      <c r="I635" s="25"/>
    </row>
    <row r="636" spans="4:9">
      <c r="D636" s="12"/>
      <c r="H636" s="15"/>
      <c r="I636" s="25"/>
    </row>
    <row r="637" spans="4:9">
      <c r="D637" s="12"/>
      <c r="H637" s="15"/>
      <c r="I637" s="25"/>
    </row>
    <row r="638" spans="4:9">
      <c r="D638" s="12"/>
      <c r="H638" s="15"/>
      <c r="I638" s="25"/>
    </row>
    <row r="639" spans="4:9">
      <c r="D639" s="12"/>
      <c r="H639" s="15"/>
      <c r="I639" s="25"/>
    </row>
    <row r="640" spans="4:9">
      <c r="D640" s="12"/>
      <c r="H640" s="15"/>
      <c r="I640" s="25"/>
    </row>
    <row r="641" spans="4:9">
      <c r="D641" s="12"/>
      <c r="H641" s="15"/>
      <c r="I641" s="25"/>
    </row>
    <row r="642" spans="4:9">
      <c r="D642" s="12"/>
      <c r="H642" s="15"/>
      <c r="I642" s="25"/>
    </row>
    <row r="643" spans="4:9">
      <c r="D643" s="12"/>
      <c r="H643" s="15"/>
      <c r="I643" s="25"/>
    </row>
    <row r="644" spans="4:9">
      <c r="D644" s="12"/>
      <c r="H644" s="15"/>
      <c r="I644" s="25"/>
    </row>
    <row r="645" spans="4:9">
      <c r="D645" s="12"/>
      <c r="H645" s="15"/>
      <c r="I645" s="25"/>
    </row>
    <row r="646" spans="4:9">
      <c r="D646" s="12"/>
      <c r="H646" s="15"/>
      <c r="I646" s="25"/>
    </row>
    <row r="647" spans="4:9">
      <c r="D647" s="12"/>
      <c r="H647" s="15"/>
      <c r="I647" s="25"/>
    </row>
    <row r="648" spans="4:9">
      <c r="D648" s="12"/>
      <c r="H648" s="15"/>
      <c r="I648" s="25"/>
    </row>
    <row r="649" spans="4:9">
      <c r="D649" s="12"/>
      <c r="H649" s="15"/>
      <c r="I649" s="25"/>
    </row>
    <row r="650" spans="4:9">
      <c r="D650" s="12"/>
      <c r="H650" s="15"/>
      <c r="I650" s="25"/>
    </row>
    <row r="651" spans="4:9">
      <c r="D651" s="12"/>
      <c r="H651" s="15"/>
      <c r="I651" s="25"/>
    </row>
    <row r="652" spans="4:9">
      <c r="D652" s="12"/>
      <c r="H652" s="15"/>
      <c r="I652" s="25"/>
    </row>
    <row r="653" spans="4:9">
      <c r="D653" s="12"/>
      <c r="H653" s="15"/>
      <c r="I653" s="25"/>
    </row>
    <row r="654" spans="4:9">
      <c r="D654" s="12"/>
      <c r="H654" s="15"/>
      <c r="I654" s="25"/>
    </row>
    <row r="655" spans="4:9">
      <c r="D655" s="12"/>
      <c r="H655" s="15"/>
      <c r="I655" s="25"/>
    </row>
    <row r="656" spans="4:9">
      <c r="D656" s="12"/>
      <c r="H656" s="15"/>
      <c r="I656" s="25"/>
    </row>
    <row r="657" spans="4:9">
      <c r="D657" s="12"/>
      <c r="H657" s="15"/>
      <c r="I657" s="25"/>
    </row>
    <row r="658" spans="4:9">
      <c r="D658" s="12"/>
      <c r="H658" s="15"/>
      <c r="I658" s="25"/>
    </row>
    <row r="659" spans="4:9">
      <c r="D659" s="12"/>
      <c r="H659" s="15"/>
      <c r="I659" s="25"/>
    </row>
    <row r="660" spans="4:9">
      <c r="D660" s="12"/>
      <c r="H660" s="15"/>
      <c r="I660" s="25"/>
    </row>
    <row r="661" spans="4:9">
      <c r="D661" s="12"/>
      <c r="H661" s="15"/>
      <c r="I661" s="25"/>
    </row>
    <row r="662" spans="4:9">
      <c r="D662" s="12"/>
      <c r="H662" s="15"/>
      <c r="I662" s="25"/>
    </row>
    <row r="663" spans="4:9">
      <c r="D663" s="12"/>
      <c r="H663" s="15"/>
      <c r="I663" s="25"/>
    </row>
    <row r="664" spans="4:9">
      <c r="D664" s="12"/>
      <c r="H664" s="15"/>
      <c r="I664" s="25"/>
    </row>
    <row r="665" spans="4:9">
      <c r="D665" s="12"/>
      <c r="H665" s="15"/>
      <c r="I665" s="25"/>
    </row>
    <row r="666" spans="4:9">
      <c r="D666" s="12"/>
      <c r="H666" s="15"/>
      <c r="I666" s="25"/>
    </row>
    <row r="667" spans="4:9">
      <c r="D667" s="12"/>
      <c r="H667" s="15"/>
      <c r="I667" s="25"/>
    </row>
    <row r="668" spans="4:9">
      <c r="D668" s="12"/>
      <c r="H668" s="15"/>
      <c r="I668" s="25"/>
    </row>
    <row r="669" spans="4:9">
      <c r="D669" s="12"/>
      <c r="H669" s="15"/>
      <c r="I669" s="25"/>
    </row>
    <row r="670" spans="4:9">
      <c r="D670" s="12"/>
      <c r="H670" s="15"/>
      <c r="I670" s="25"/>
    </row>
    <row r="671" spans="4:9">
      <c r="D671" s="12"/>
      <c r="H671" s="15"/>
      <c r="I671" s="25"/>
    </row>
    <row r="672" spans="4:9">
      <c r="D672" s="12"/>
      <c r="H672" s="15"/>
      <c r="I672" s="25"/>
    </row>
    <row r="673" spans="4:9">
      <c r="D673" s="12"/>
      <c r="H673" s="15"/>
      <c r="I673" s="25"/>
    </row>
    <row r="674" spans="4:9">
      <c r="D674" s="12"/>
      <c r="H674" s="15"/>
      <c r="I674" s="25"/>
    </row>
    <row r="675" spans="4:9">
      <c r="D675" s="12"/>
      <c r="H675" s="15"/>
      <c r="I675" s="25"/>
    </row>
    <row r="676" spans="4:9">
      <c r="D676" s="12"/>
      <c r="H676" s="15"/>
      <c r="I676" s="25"/>
    </row>
    <row r="677" spans="4:9">
      <c r="D677" s="12"/>
      <c r="H677" s="15"/>
      <c r="I677" s="25"/>
    </row>
    <row r="678" spans="4:9">
      <c r="D678" s="12"/>
      <c r="H678" s="15"/>
      <c r="I678" s="25"/>
    </row>
    <row r="679" spans="4:9">
      <c r="D679" s="12"/>
      <c r="H679" s="15"/>
      <c r="I679" s="25"/>
    </row>
    <row r="680" spans="4:9">
      <c r="D680" s="12"/>
      <c r="H680" s="15"/>
      <c r="I680" s="25"/>
    </row>
    <row r="681" spans="4:9">
      <c r="D681" s="12"/>
      <c r="H681" s="15"/>
      <c r="I681" s="25"/>
    </row>
    <row r="682" spans="4:9">
      <c r="D682" s="12"/>
      <c r="H682" s="15"/>
      <c r="I682" s="25"/>
    </row>
    <row r="683" spans="4:9">
      <c r="D683" s="12"/>
      <c r="H683" s="15"/>
      <c r="I683" s="25"/>
    </row>
    <row r="684" spans="4:9">
      <c r="D684" s="12"/>
      <c r="H684" s="15"/>
      <c r="I684" s="25"/>
    </row>
    <row r="685" spans="4:9">
      <c r="D685" s="12"/>
      <c r="H685" s="15"/>
      <c r="I685" s="25"/>
    </row>
    <row r="686" spans="4:9">
      <c r="D686" s="12"/>
      <c r="H686" s="15"/>
      <c r="I686" s="25"/>
    </row>
    <row r="687" spans="4:9">
      <c r="D687" s="12"/>
      <c r="H687" s="15"/>
      <c r="I687" s="25"/>
    </row>
    <row r="688" spans="4:9">
      <c r="D688" s="12"/>
      <c r="H688" s="15"/>
      <c r="I688" s="25"/>
    </row>
    <row r="689" spans="4:9">
      <c r="D689" s="12"/>
      <c r="H689" s="15"/>
      <c r="I689" s="25"/>
    </row>
    <row r="690" spans="4:9">
      <c r="D690" s="12"/>
      <c r="H690" s="15"/>
      <c r="I690" s="25"/>
    </row>
    <row r="691" spans="4:9">
      <c r="D691" s="12"/>
      <c r="H691" s="15"/>
      <c r="I691" s="25"/>
    </row>
    <row r="692" spans="4:9">
      <c r="D692" s="12"/>
      <c r="H692" s="15"/>
      <c r="I692" s="25"/>
    </row>
    <row r="693" spans="4:9">
      <c r="D693" s="12"/>
      <c r="H693" s="15"/>
      <c r="I693" s="25"/>
    </row>
    <row r="694" spans="4:9">
      <c r="D694" s="12"/>
      <c r="H694" s="15"/>
      <c r="I694" s="25"/>
    </row>
    <row r="695" spans="4:9">
      <c r="D695" s="12"/>
      <c r="H695" s="15"/>
      <c r="I695" s="25"/>
    </row>
    <row r="696" spans="4:9">
      <c r="D696" s="12"/>
      <c r="H696" s="15"/>
      <c r="I696" s="25"/>
    </row>
    <row r="697" spans="4:9">
      <c r="D697" s="12"/>
      <c r="H697" s="15"/>
      <c r="I697" s="25"/>
    </row>
    <row r="698" spans="4:9">
      <c r="D698" s="12"/>
      <c r="H698" s="15"/>
      <c r="I698" s="25"/>
    </row>
    <row r="699" spans="4:9">
      <c r="D699" s="12"/>
      <c r="H699" s="15"/>
      <c r="I699" s="25"/>
    </row>
    <row r="700" spans="4:9">
      <c r="D700" s="12"/>
      <c r="H700" s="15"/>
      <c r="I700" s="25"/>
    </row>
    <row r="701" spans="4:9">
      <c r="D701" s="12"/>
      <c r="H701" s="15"/>
      <c r="I701" s="25"/>
    </row>
    <row r="702" spans="4:9">
      <c r="D702" s="12"/>
      <c r="H702" s="15"/>
      <c r="I702" s="25"/>
    </row>
    <row r="703" spans="4:9">
      <c r="D703" s="12"/>
      <c r="H703" s="15"/>
      <c r="I703" s="25"/>
    </row>
    <row r="704" spans="4:9">
      <c r="D704" s="12"/>
      <c r="H704" s="15"/>
      <c r="I704" s="25"/>
    </row>
    <row r="705" spans="4:9">
      <c r="D705" s="12"/>
      <c r="H705" s="15"/>
      <c r="I705" s="25"/>
    </row>
    <row r="706" spans="4:9">
      <c r="D706" s="12"/>
      <c r="H706" s="15"/>
      <c r="I706" s="25"/>
    </row>
    <row r="707" spans="4:9">
      <c r="D707" s="12"/>
      <c r="H707" s="15"/>
      <c r="I707" s="25"/>
    </row>
    <row r="708" spans="4:9">
      <c r="D708" s="12"/>
      <c r="H708" s="15"/>
      <c r="I708" s="25"/>
    </row>
    <row r="709" spans="4:9">
      <c r="D709" s="12"/>
      <c r="H709" s="15"/>
      <c r="I709" s="25"/>
    </row>
    <row r="710" spans="4:9">
      <c r="D710" s="12"/>
      <c r="H710" s="15"/>
      <c r="I710" s="25"/>
    </row>
    <row r="711" spans="4:9">
      <c r="D711" s="12"/>
      <c r="H711" s="15"/>
      <c r="I711" s="25"/>
    </row>
    <row r="712" spans="4:9">
      <c r="D712" s="12"/>
      <c r="H712" s="15"/>
      <c r="I712" s="25"/>
    </row>
    <row r="713" spans="4:9">
      <c r="D713" s="12"/>
      <c r="H713" s="15"/>
      <c r="I713" s="25"/>
    </row>
    <row r="714" spans="4:9">
      <c r="D714" s="12"/>
      <c r="H714" s="15"/>
      <c r="I714" s="25"/>
    </row>
    <row r="715" spans="4:9">
      <c r="D715" s="12"/>
      <c r="H715" s="15"/>
      <c r="I715" s="25"/>
    </row>
    <row r="716" spans="4:9">
      <c r="D716" s="12"/>
      <c r="H716" s="15"/>
      <c r="I716" s="25"/>
    </row>
    <row r="717" spans="4:9">
      <c r="D717" s="12"/>
      <c r="H717" s="15"/>
      <c r="I717" s="25"/>
    </row>
    <row r="718" spans="4:9">
      <c r="D718" s="12"/>
      <c r="H718" s="15"/>
      <c r="I718" s="25"/>
    </row>
    <row r="719" spans="4:9">
      <c r="D719" s="12"/>
      <c r="H719" s="15"/>
      <c r="I719" s="25"/>
    </row>
    <row r="720" spans="4:9">
      <c r="D720" s="12"/>
      <c r="H720" s="15"/>
      <c r="I720" s="25"/>
    </row>
    <row r="721" spans="4:9">
      <c r="D721" s="12"/>
      <c r="H721" s="15"/>
      <c r="I721" s="25"/>
    </row>
    <row r="722" spans="4:9">
      <c r="D722" s="12"/>
      <c r="H722" s="15"/>
      <c r="I722" s="25"/>
    </row>
    <row r="723" spans="4:9">
      <c r="D723" s="12"/>
      <c r="H723" s="15"/>
      <c r="I723" s="25"/>
    </row>
    <row r="724" spans="4:9">
      <c r="D724" s="12"/>
      <c r="H724" s="15"/>
      <c r="I724" s="25"/>
    </row>
    <row r="725" spans="4:9">
      <c r="D725" s="12"/>
      <c r="H725" s="15"/>
      <c r="I725" s="25"/>
    </row>
    <row r="726" spans="4:9">
      <c r="D726" s="12"/>
      <c r="H726" s="15"/>
      <c r="I726" s="25"/>
    </row>
    <row r="727" spans="4:9">
      <c r="D727" s="12"/>
      <c r="H727" s="15"/>
      <c r="I727" s="25"/>
    </row>
    <row r="728" spans="4:9">
      <c r="D728" s="12"/>
      <c r="H728" s="15"/>
      <c r="I728" s="25"/>
    </row>
    <row r="729" spans="4:9">
      <c r="D729" s="12"/>
      <c r="H729" s="15"/>
      <c r="I729" s="25"/>
    </row>
    <row r="730" spans="4:9">
      <c r="D730" s="12"/>
      <c r="H730" s="15"/>
      <c r="I730" s="25"/>
    </row>
    <row r="731" spans="4:9">
      <c r="D731" s="12"/>
      <c r="H731" s="15"/>
      <c r="I731" s="25"/>
    </row>
    <row r="732" spans="4:9">
      <c r="D732" s="12"/>
      <c r="H732" s="15"/>
      <c r="I732" s="25"/>
    </row>
    <row r="733" spans="4:9">
      <c r="D733" s="12"/>
      <c r="H733" s="15"/>
      <c r="I733" s="25"/>
    </row>
    <row r="734" spans="4:9">
      <c r="D734" s="12"/>
      <c r="H734" s="15"/>
      <c r="I734" s="25"/>
    </row>
    <row r="735" spans="4:9">
      <c r="D735" s="12"/>
      <c r="H735" s="15"/>
      <c r="I735" s="25"/>
    </row>
    <row r="736" spans="4:9">
      <c r="D736" s="12"/>
      <c r="H736" s="15"/>
      <c r="I736" s="25"/>
    </row>
    <row r="737" spans="4:9">
      <c r="D737" s="12"/>
      <c r="H737" s="15"/>
      <c r="I737" s="25"/>
    </row>
    <row r="738" spans="4:9">
      <c r="D738" s="12"/>
      <c r="H738" s="15"/>
      <c r="I738" s="25"/>
    </row>
    <row r="739" spans="4:9">
      <c r="D739" s="12"/>
      <c r="H739" s="15"/>
      <c r="I739" s="25"/>
    </row>
    <row r="740" spans="4:9">
      <c r="D740" s="12"/>
      <c r="H740" s="15"/>
      <c r="I740" s="25"/>
    </row>
    <row r="741" spans="4:9">
      <c r="D741" s="12"/>
      <c r="H741" s="15"/>
      <c r="I741" s="25"/>
    </row>
    <row r="742" spans="4:9">
      <c r="D742" s="12"/>
      <c r="H742" s="15"/>
      <c r="I742" s="25"/>
    </row>
    <row r="743" spans="4:9">
      <c r="D743" s="12"/>
      <c r="H743" s="15"/>
      <c r="I743" s="25"/>
    </row>
    <row r="744" spans="4:9">
      <c r="D744" s="12"/>
      <c r="H744" s="15"/>
      <c r="I744" s="25"/>
    </row>
    <row r="745" spans="4:9">
      <c r="D745" s="12"/>
      <c r="H745" s="15"/>
      <c r="I745" s="25"/>
    </row>
    <row r="746" spans="4:9">
      <c r="D746" s="12"/>
      <c r="H746" s="15"/>
      <c r="I746" s="25"/>
    </row>
    <row r="747" spans="4:9">
      <c r="D747" s="12"/>
      <c r="H747" s="15"/>
      <c r="I747" s="25"/>
    </row>
    <row r="748" spans="4:9">
      <c r="D748" s="12"/>
      <c r="H748" s="15"/>
      <c r="I748" s="25"/>
    </row>
    <row r="749" spans="4:9">
      <c r="D749" s="12"/>
      <c r="H749" s="15"/>
      <c r="I749" s="25"/>
    </row>
    <row r="750" spans="4:9">
      <c r="D750" s="12"/>
      <c r="H750" s="15"/>
      <c r="I750" s="25"/>
    </row>
    <row r="751" spans="4:9">
      <c r="D751" s="12"/>
      <c r="H751" s="15"/>
      <c r="I751" s="25"/>
    </row>
    <row r="752" spans="4:9">
      <c r="D752" s="12"/>
      <c r="H752" s="15"/>
      <c r="I752" s="25"/>
    </row>
    <row r="753" spans="4:9">
      <c r="D753" s="12"/>
      <c r="H753" s="15"/>
      <c r="I753" s="25"/>
    </row>
    <row r="754" spans="4:9">
      <c r="D754" s="12"/>
      <c r="H754" s="15"/>
      <c r="I754" s="25"/>
    </row>
    <row r="755" spans="4:9">
      <c r="D755" s="12"/>
      <c r="H755" s="15"/>
      <c r="I755" s="25"/>
    </row>
    <row r="756" spans="4:9">
      <c r="D756" s="12"/>
      <c r="H756" s="15"/>
      <c r="I756" s="25"/>
    </row>
    <row r="757" spans="4:9">
      <c r="D757" s="12"/>
      <c r="H757" s="15"/>
      <c r="I757" s="25"/>
    </row>
    <row r="758" spans="4:9">
      <c r="D758" s="12"/>
      <c r="H758" s="15"/>
      <c r="I758" s="25"/>
    </row>
    <row r="759" spans="4:9">
      <c r="D759" s="12"/>
      <c r="H759" s="15"/>
      <c r="I759" s="25"/>
    </row>
    <row r="760" spans="4:9">
      <c r="D760" s="12"/>
      <c r="H760" s="15"/>
      <c r="I760" s="25"/>
    </row>
    <row r="761" spans="4:9">
      <c r="D761" s="12"/>
      <c r="H761" s="15"/>
      <c r="I761" s="25"/>
    </row>
    <row r="762" spans="4:9">
      <c r="D762" s="12"/>
      <c r="H762" s="15"/>
      <c r="I762" s="25"/>
    </row>
    <row r="763" spans="4:9">
      <c r="D763" s="12"/>
      <c r="H763" s="15"/>
      <c r="I763" s="25"/>
    </row>
    <row r="764" spans="4:9">
      <c r="D764" s="12"/>
      <c r="H764" s="15"/>
      <c r="I764" s="25"/>
    </row>
    <row r="765" spans="4:9">
      <c r="D765" s="12"/>
      <c r="H765" s="15"/>
      <c r="I765" s="25"/>
    </row>
    <row r="766" spans="4:9">
      <c r="D766" s="12"/>
      <c r="H766" s="15"/>
      <c r="I766" s="25"/>
    </row>
    <row r="767" spans="4:9">
      <c r="D767" s="12"/>
      <c r="H767" s="15"/>
      <c r="I767" s="25"/>
    </row>
    <row r="768" spans="4:9">
      <c r="D768" s="12"/>
      <c r="H768" s="15"/>
      <c r="I768" s="25"/>
    </row>
    <row r="769" spans="4:9">
      <c r="D769" s="12"/>
      <c r="H769" s="15"/>
      <c r="I769" s="25"/>
    </row>
    <row r="770" spans="4:9">
      <c r="D770" s="12"/>
      <c r="H770" s="15"/>
      <c r="I770" s="25"/>
    </row>
    <row r="771" spans="4:9">
      <c r="D771" s="12"/>
      <c r="H771" s="15"/>
      <c r="I771" s="25"/>
    </row>
    <row r="772" spans="4:9">
      <c r="D772" s="12"/>
      <c r="H772" s="15"/>
      <c r="I772" s="25"/>
    </row>
    <row r="773" spans="4:9">
      <c r="D773" s="12"/>
      <c r="H773" s="15"/>
      <c r="I773" s="25"/>
    </row>
    <row r="774" spans="4:9">
      <c r="D774" s="12"/>
      <c r="H774" s="15"/>
      <c r="I774" s="25"/>
    </row>
    <row r="775" spans="4:9">
      <c r="D775" s="12"/>
      <c r="H775" s="15"/>
      <c r="I775" s="25"/>
    </row>
    <row r="776" spans="4:9">
      <c r="D776" s="12"/>
      <c r="H776" s="15"/>
      <c r="I776" s="25"/>
    </row>
    <row r="777" spans="4:9">
      <c r="D777" s="12"/>
      <c r="H777" s="15"/>
      <c r="I777" s="25"/>
    </row>
    <row r="778" spans="4:9">
      <c r="D778" s="12"/>
      <c r="H778" s="15"/>
      <c r="I778" s="25"/>
    </row>
    <row r="779" spans="4:9">
      <c r="D779" s="12"/>
      <c r="H779" s="15"/>
      <c r="I779" s="25"/>
    </row>
    <row r="780" spans="4:9">
      <c r="D780" s="12"/>
      <c r="H780" s="15"/>
      <c r="I780" s="25"/>
    </row>
    <row r="781" spans="4:9">
      <c r="D781" s="12"/>
      <c r="H781" s="15"/>
      <c r="I781" s="25"/>
    </row>
    <row r="782" spans="4:9">
      <c r="D782" s="12"/>
      <c r="H782" s="15"/>
      <c r="I782" s="25"/>
    </row>
    <row r="783" spans="4:9">
      <c r="D783" s="12"/>
      <c r="H783" s="15"/>
      <c r="I783" s="25"/>
    </row>
    <row r="784" spans="4:9">
      <c r="D784" s="12"/>
      <c r="H784" s="15"/>
      <c r="I784" s="25"/>
    </row>
    <row r="785" spans="4:9">
      <c r="D785" s="12"/>
      <c r="H785" s="15"/>
      <c r="I785" s="25"/>
    </row>
    <row r="786" spans="4:9">
      <c r="D786" s="12"/>
      <c r="H786" s="15"/>
      <c r="I786" s="25"/>
    </row>
    <row r="787" spans="4:9">
      <c r="D787" s="12"/>
      <c r="H787" s="15"/>
      <c r="I787" s="25"/>
    </row>
    <row r="788" spans="4:9">
      <c r="D788" s="12"/>
      <c r="H788" s="15"/>
      <c r="I788" s="25"/>
    </row>
    <row r="789" spans="4:9">
      <c r="D789" s="12"/>
      <c r="H789" s="15"/>
      <c r="I789" s="25"/>
    </row>
    <row r="790" spans="4:9">
      <c r="D790" s="12"/>
      <c r="H790" s="15"/>
      <c r="I790" s="25"/>
    </row>
    <row r="791" spans="4:9">
      <c r="D791" s="12"/>
      <c r="H791" s="15"/>
      <c r="I791" s="25"/>
    </row>
    <row r="792" spans="4:9">
      <c r="D792" s="12"/>
      <c r="H792" s="15"/>
      <c r="I792" s="25"/>
    </row>
    <row r="793" spans="4:9">
      <c r="D793" s="12"/>
      <c r="H793" s="15"/>
      <c r="I793" s="25"/>
    </row>
    <row r="794" spans="4:9">
      <c r="D794" s="12"/>
      <c r="H794" s="15"/>
      <c r="I794" s="25"/>
    </row>
    <row r="795" spans="4:9">
      <c r="D795" s="12"/>
      <c r="H795" s="15"/>
      <c r="I795" s="25"/>
    </row>
    <row r="796" spans="4:9">
      <c r="D796" s="12"/>
      <c r="H796" s="15"/>
      <c r="I796" s="25"/>
    </row>
    <row r="797" spans="4:9">
      <c r="D797" s="12"/>
      <c r="H797" s="15"/>
      <c r="I797" s="25"/>
    </row>
    <row r="798" spans="4:9">
      <c r="D798" s="12"/>
      <c r="H798" s="15"/>
      <c r="I798" s="25"/>
    </row>
    <row r="799" spans="4:9">
      <c r="D799" s="12"/>
      <c r="H799" s="15"/>
      <c r="I799" s="25"/>
    </row>
    <row r="800" spans="4:9">
      <c r="D800" s="12"/>
      <c r="H800" s="15"/>
      <c r="I800" s="25"/>
    </row>
    <row r="801" spans="4:9">
      <c r="D801" s="12"/>
      <c r="H801" s="15"/>
      <c r="I801" s="25"/>
    </row>
    <row r="802" spans="4:9">
      <c r="D802" s="12"/>
      <c r="H802" s="15"/>
      <c r="I802" s="25"/>
    </row>
    <row r="803" spans="4:9">
      <c r="D803" s="12"/>
      <c r="H803" s="15"/>
      <c r="I803" s="25"/>
    </row>
    <row r="804" spans="4:9">
      <c r="D804" s="12"/>
      <c r="H804" s="15"/>
      <c r="I804" s="25"/>
    </row>
    <row r="805" spans="4:9">
      <c r="D805" s="12"/>
      <c r="H805" s="15"/>
      <c r="I805" s="25"/>
    </row>
    <row r="806" spans="4:9">
      <c r="D806" s="12"/>
      <c r="H806" s="15"/>
      <c r="I806" s="25"/>
    </row>
    <row r="807" spans="4:9">
      <c r="D807" s="12"/>
      <c r="H807" s="15"/>
      <c r="I807" s="25"/>
    </row>
    <row r="808" spans="4:9">
      <c r="D808" s="12"/>
      <c r="H808" s="15"/>
      <c r="I808" s="25"/>
    </row>
    <row r="809" spans="4:9">
      <c r="D809" s="12"/>
      <c r="H809" s="15"/>
      <c r="I809" s="25"/>
    </row>
    <row r="810" spans="4:9">
      <c r="D810" s="12"/>
      <c r="H810" s="15"/>
      <c r="I810" s="25"/>
    </row>
    <row r="811" spans="4:9">
      <c r="D811" s="12"/>
      <c r="H811" s="15"/>
      <c r="I811" s="25"/>
    </row>
    <row r="812" spans="4:9">
      <c r="D812" s="12"/>
      <c r="H812" s="15"/>
      <c r="I812" s="25"/>
    </row>
    <row r="813" spans="4:9">
      <c r="D813" s="12"/>
      <c r="H813" s="15"/>
      <c r="I813" s="25"/>
    </row>
    <row r="814" spans="4:9">
      <c r="D814" s="12"/>
      <c r="H814" s="15"/>
      <c r="I814" s="25"/>
    </row>
    <row r="815" spans="4:9">
      <c r="D815" s="12"/>
      <c r="H815" s="15"/>
      <c r="I815" s="25"/>
    </row>
    <row r="816" spans="4:9">
      <c r="D816" s="12"/>
      <c r="H816" s="15"/>
      <c r="I816" s="25"/>
    </row>
    <row r="817" spans="4:9">
      <c r="D817" s="12"/>
      <c r="H817" s="15"/>
      <c r="I817" s="25"/>
    </row>
    <row r="818" spans="4:9">
      <c r="D818" s="12"/>
      <c r="H818" s="15"/>
      <c r="I818" s="25"/>
    </row>
    <row r="819" spans="4:9">
      <c r="D819" s="12"/>
      <c r="H819" s="15"/>
      <c r="I819" s="25"/>
    </row>
    <row r="820" spans="4:9">
      <c r="D820" s="12"/>
      <c r="H820" s="15"/>
      <c r="I820" s="25"/>
    </row>
    <row r="821" spans="4:9">
      <c r="D821" s="12"/>
      <c r="H821" s="15"/>
      <c r="I821" s="25"/>
    </row>
    <row r="822" spans="4:9">
      <c r="D822" s="12"/>
      <c r="H822" s="15"/>
      <c r="I822" s="25"/>
    </row>
    <row r="823" spans="4:9">
      <c r="D823" s="12"/>
      <c r="H823" s="15"/>
      <c r="I823" s="25"/>
    </row>
    <row r="824" spans="4:9">
      <c r="D824" s="12"/>
      <c r="H824" s="15"/>
      <c r="I824" s="25"/>
    </row>
    <row r="825" spans="4:9">
      <c r="D825" s="12"/>
      <c r="H825" s="15"/>
      <c r="I825" s="25"/>
    </row>
    <row r="826" spans="4:9">
      <c r="D826" s="12"/>
      <c r="H826" s="15"/>
      <c r="I826" s="25"/>
    </row>
    <row r="827" spans="4:9">
      <c r="D827" s="12"/>
      <c r="H827" s="15"/>
      <c r="I827" s="25"/>
    </row>
    <row r="828" spans="4:9">
      <c r="D828" s="12"/>
      <c r="H828" s="15"/>
      <c r="I828" s="25"/>
    </row>
    <row r="829" spans="4:9">
      <c r="D829" s="12"/>
      <c r="H829" s="15"/>
      <c r="I829" s="25"/>
    </row>
    <row r="830" spans="4:9">
      <c r="D830" s="12"/>
      <c r="H830" s="15"/>
      <c r="I830" s="25"/>
    </row>
    <row r="831" spans="4:9">
      <c r="D831" s="12"/>
      <c r="H831" s="15"/>
      <c r="I831" s="25"/>
    </row>
    <row r="832" spans="4:9">
      <c r="D832" s="12"/>
      <c r="H832" s="15"/>
      <c r="I832" s="25"/>
    </row>
    <row r="833" spans="4:9">
      <c r="D833" s="12"/>
      <c r="H833" s="15"/>
      <c r="I833" s="25"/>
    </row>
    <row r="834" spans="4:9">
      <c r="D834" s="12"/>
      <c r="H834" s="15"/>
      <c r="I834" s="25"/>
    </row>
    <row r="835" spans="4:9">
      <c r="D835" s="12"/>
      <c r="H835" s="15"/>
      <c r="I835" s="25"/>
    </row>
    <row r="836" spans="4:9">
      <c r="D836" s="12"/>
      <c r="H836" s="15"/>
      <c r="I836" s="25"/>
    </row>
    <row r="837" spans="4:9">
      <c r="D837" s="12"/>
      <c r="H837" s="15"/>
      <c r="I837" s="25"/>
    </row>
    <row r="838" spans="4:9">
      <c r="D838" s="12"/>
      <c r="H838" s="15"/>
      <c r="I838" s="25"/>
    </row>
    <row r="839" spans="4:9">
      <c r="D839" s="12"/>
      <c r="H839" s="15"/>
      <c r="I839" s="25"/>
    </row>
    <row r="840" spans="4:9">
      <c r="D840" s="12"/>
      <c r="H840" s="15"/>
      <c r="I840" s="25"/>
    </row>
    <row r="841" spans="4:9">
      <c r="D841" s="12"/>
      <c r="H841" s="15"/>
      <c r="I841" s="25"/>
    </row>
    <row r="842" spans="4:9">
      <c r="D842" s="12"/>
      <c r="H842" s="15"/>
      <c r="I842" s="25"/>
    </row>
    <row r="843" spans="4:9">
      <c r="D843" s="12"/>
      <c r="H843" s="15"/>
      <c r="I843" s="25"/>
    </row>
    <row r="844" spans="4:9">
      <c r="D844" s="12"/>
      <c r="H844" s="15"/>
      <c r="I844" s="25"/>
    </row>
    <row r="845" spans="4:9">
      <c r="D845" s="12"/>
      <c r="H845" s="15"/>
      <c r="I845" s="25"/>
    </row>
    <row r="846" spans="4:9">
      <c r="D846" s="12"/>
      <c r="H846" s="15"/>
      <c r="I846" s="25"/>
    </row>
    <row r="847" spans="4:9">
      <c r="D847" s="12"/>
      <c r="H847" s="15"/>
      <c r="I847" s="25"/>
    </row>
    <row r="848" spans="4:9">
      <c r="D848" s="12"/>
      <c r="H848" s="15"/>
      <c r="I848" s="25"/>
    </row>
    <row r="849" spans="4:9">
      <c r="D849" s="12"/>
      <c r="H849" s="15"/>
      <c r="I849" s="25"/>
    </row>
    <row r="850" spans="4:9">
      <c r="D850" s="12"/>
      <c r="H850" s="15"/>
      <c r="I850" s="25"/>
    </row>
    <row r="851" spans="4:9">
      <c r="D851" s="12"/>
      <c r="H851" s="15"/>
      <c r="I851" s="25"/>
    </row>
    <row r="852" spans="4:9">
      <c r="D852" s="12"/>
      <c r="H852" s="15"/>
      <c r="I852" s="25"/>
    </row>
    <row r="853" spans="4:9">
      <c r="D853" s="12"/>
      <c r="H853" s="15"/>
      <c r="I853" s="25"/>
    </row>
    <row r="854" spans="4:9">
      <c r="D854" s="12"/>
      <c r="H854" s="15"/>
      <c r="I854" s="25"/>
    </row>
    <row r="855" spans="4:9">
      <c r="D855" s="12"/>
      <c r="H855" s="15"/>
      <c r="I855" s="25"/>
    </row>
    <row r="856" spans="4:9">
      <c r="D856" s="12"/>
      <c r="H856" s="15"/>
      <c r="I856" s="25"/>
    </row>
    <row r="857" spans="4:9">
      <c r="D857" s="12"/>
      <c r="H857" s="15"/>
      <c r="I857" s="25"/>
    </row>
    <row r="858" spans="4:9">
      <c r="D858" s="12"/>
      <c r="H858" s="15"/>
      <c r="I858" s="25"/>
    </row>
    <row r="859" spans="4:9">
      <c r="D859" s="12"/>
      <c r="H859" s="15"/>
      <c r="I859" s="25"/>
    </row>
    <row r="860" spans="4:9">
      <c r="D860" s="12"/>
      <c r="H860" s="15"/>
      <c r="I860" s="25"/>
    </row>
    <row r="861" spans="4:9">
      <c r="D861" s="12"/>
      <c r="H861" s="15"/>
      <c r="I861" s="25"/>
    </row>
    <row r="862" spans="4:9">
      <c r="D862" s="12"/>
      <c r="H862" s="15"/>
      <c r="I862" s="25"/>
    </row>
    <row r="863" spans="4:9">
      <c r="D863" s="12"/>
      <c r="H863" s="15"/>
      <c r="I863" s="25"/>
    </row>
    <row r="864" spans="4:9">
      <c r="D864" s="12"/>
      <c r="H864" s="15"/>
      <c r="I864" s="25"/>
    </row>
    <row r="865" spans="4:9">
      <c r="D865" s="12"/>
      <c r="H865" s="15"/>
      <c r="I865" s="25"/>
    </row>
    <row r="866" spans="4:9">
      <c r="D866" s="12"/>
      <c r="H866" s="15"/>
      <c r="I866" s="25"/>
    </row>
    <row r="867" spans="4:9">
      <c r="D867" s="12"/>
      <c r="H867" s="15"/>
      <c r="I867" s="25"/>
    </row>
    <row r="868" spans="4:9">
      <c r="D868" s="12"/>
      <c r="H868" s="15"/>
      <c r="I868" s="25"/>
    </row>
    <row r="869" spans="4:9">
      <c r="D869" s="12"/>
      <c r="H869" s="15"/>
      <c r="I869" s="25"/>
    </row>
    <row r="870" spans="4:9">
      <c r="D870" s="12"/>
      <c r="H870" s="15"/>
      <c r="I870" s="25"/>
    </row>
    <row r="871" spans="4:9">
      <c r="D871" s="12"/>
      <c r="H871" s="15"/>
      <c r="I871" s="25"/>
    </row>
    <row r="872" spans="4:9">
      <c r="D872" s="12"/>
      <c r="H872" s="15"/>
      <c r="I872" s="25"/>
    </row>
    <row r="873" spans="4:9">
      <c r="D873" s="12"/>
      <c r="H873" s="15"/>
      <c r="I873" s="25"/>
    </row>
    <row r="874" spans="4:9">
      <c r="D874" s="12"/>
      <c r="H874" s="15"/>
      <c r="I874" s="25"/>
    </row>
    <row r="875" spans="4:9">
      <c r="D875" s="12"/>
      <c r="H875" s="15"/>
      <c r="I875" s="25"/>
    </row>
    <row r="876" spans="4:9">
      <c r="D876" s="12"/>
      <c r="H876" s="15"/>
      <c r="I876" s="25"/>
    </row>
    <row r="877" spans="4:9">
      <c r="D877" s="12"/>
      <c r="H877" s="15"/>
      <c r="I877" s="25"/>
    </row>
    <row r="878" spans="4:9">
      <c r="D878" s="12"/>
      <c r="H878" s="15"/>
      <c r="I878" s="25"/>
    </row>
    <row r="879" spans="4:9">
      <c r="D879" s="12"/>
      <c r="H879" s="15"/>
      <c r="I879" s="25"/>
    </row>
    <row r="880" spans="4:9">
      <c r="D880" s="12"/>
      <c r="H880" s="15"/>
      <c r="I880" s="25"/>
    </row>
    <row r="881" spans="4:9">
      <c r="D881" s="12"/>
      <c r="H881" s="15"/>
      <c r="I881" s="25"/>
    </row>
    <row r="882" spans="4:9">
      <c r="D882" s="12"/>
      <c r="H882" s="15"/>
      <c r="I882" s="25"/>
    </row>
    <row r="883" spans="4:9">
      <c r="D883" s="12"/>
      <c r="H883" s="15"/>
      <c r="I883" s="25"/>
    </row>
    <row r="884" spans="4:9">
      <c r="D884" s="12"/>
      <c r="H884" s="15"/>
      <c r="I884" s="25"/>
    </row>
    <row r="885" spans="4:9">
      <c r="D885" s="12"/>
      <c r="H885" s="15"/>
      <c r="I885" s="25"/>
    </row>
    <row r="886" spans="4:9">
      <c r="D886" s="12"/>
      <c r="H886" s="15"/>
      <c r="I886" s="25"/>
    </row>
    <row r="887" spans="4:9">
      <c r="D887" s="12"/>
      <c r="H887" s="15"/>
      <c r="I887" s="25"/>
    </row>
    <row r="888" spans="4:9">
      <c r="D888" s="12"/>
      <c r="H888" s="15"/>
      <c r="I888" s="25"/>
    </row>
    <row r="889" spans="4:9">
      <c r="D889" s="12"/>
      <c r="H889" s="15"/>
      <c r="I889" s="25"/>
    </row>
    <row r="890" spans="4:9">
      <c r="D890" s="12"/>
      <c r="H890" s="15"/>
      <c r="I890" s="25"/>
    </row>
    <row r="891" spans="4:9">
      <c r="D891" s="12"/>
      <c r="H891" s="15"/>
      <c r="I891" s="25"/>
    </row>
    <row r="892" spans="4:9">
      <c r="D892" s="12"/>
      <c r="H892" s="15"/>
      <c r="I892" s="25"/>
    </row>
    <row r="893" spans="4:9">
      <c r="D893" s="12"/>
      <c r="H893" s="15"/>
      <c r="I893" s="25"/>
    </row>
    <row r="894" spans="4:9">
      <c r="D894" s="12"/>
      <c r="H894" s="15"/>
      <c r="I894" s="25"/>
    </row>
    <row r="895" spans="4:9">
      <c r="D895" s="12"/>
      <c r="H895" s="15"/>
      <c r="I895" s="25"/>
    </row>
    <row r="896" spans="4:9">
      <c r="D896" s="12"/>
      <c r="H896" s="15"/>
      <c r="I896" s="25"/>
    </row>
    <row r="897" spans="4:9">
      <c r="D897" s="12"/>
      <c r="H897" s="15"/>
      <c r="I897" s="25"/>
    </row>
    <row r="898" spans="4:9">
      <c r="D898" s="12"/>
      <c r="H898" s="15"/>
      <c r="I898" s="25"/>
    </row>
    <row r="899" spans="4:9">
      <c r="D899" s="12"/>
      <c r="H899" s="15"/>
      <c r="I899" s="25"/>
    </row>
    <row r="900" spans="4:9">
      <c r="D900" s="12"/>
      <c r="H900" s="15"/>
      <c r="I900" s="25"/>
    </row>
    <row r="901" spans="4:9">
      <c r="D901" s="12"/>
      <c r="H901" s="15"/>
      <c r="I901" s="25"/>
    </row>
    <row r="902" spans="4:9">
      <c r="D902" s="12"/>
      <c r="H902" s="15"/>
      <c r="I902" s="25"/>
    </row>
    <row r="903" spans="4:9">
      <c r="D903" s="12"/>
      <c r="H903" s="15"/>
      <c r="I903" s="25"/>
    </row>
    <row r="904" spans="4:9">
      <c r="D904" s="12"/>
      <c r="H904" s="15"/>
      <c r="I904" s="25"/>
    </row>
    <row r="905" spans="4:9">
      <c r="D905" s="12"/>
      <c r="H905" s="15"/>
      <c r="I905" s="25"/>
    </row>
    <row r="906" spans="4:9">
      <c r="D906" s="12"/>
      <c r="H906" s="15"/>
      <c r="I906" s="25"/>
    </row>
    <row r="907" spans="4:9">
      <c r="D907" s="12"/>
      <c r="H907" s="15"/>
      <c r="I907" s="25"/>
    </row>
    <row r="908" spans="4:9">
      <c r="D908" s="12"/>
      <c r="H908" s="15"/>
      <c r="I908" s="25"/>
    </row>
    <row r="909" spans="4:9">
      <c r="D909" s="12"/>
      <c r="H909" s="15"/>
      <c r="I909" s="25"/>
    </row>
    <row r="910" spans="4:9">
      <c r="D910" s="12"/>
      <c r="H910" s="15"/>
      <c r="I910" s="25"/>
    </row>
    <row r="911" spans="4:9">
      <c r="D911" s="12"/>
      <c r="H911" s="15"/>
      <c r="I911" s="25"/>
    </row>
    <row r="912" spans="4:9">
      <c r="D912" s="12"/>
      <c r="H912" s="15"/>
      <c r="I912" s="25"/>
    </row>
    <row r="913" spans="4:9">
      <c r="D913" s="12"/>
      <c r="H913" s="15"/>
      <c r="I913" s="25"/>
    </row>
    <row r="914" spans="4:9">
      <c r="D914" s="12"/>
      <c r="H914" s="15"/>
      <c r="I914" s="25"/>
    </row>
    <row r="915" spans="4:9">
      <c r="D915" s="12"/>
      <c r="H915" s="15"/>
      <c r="I915" s="25"/>
    </row>
    <row r="916" spans="4:9">
      <c r="D916" s="12"/>
      <c r="H916" s="15"/>
      <c r="I916" s="25"/>
    </row>
    <row r="917" spans="4:9">
      <c r="D917" s="12"/>
      <c r="H917" s="15"/>
      <c r="I917" s="25"/>
    </row>
    <row r="918" spans="4:9">
      <c r="D918" s="12"/>
      <c r="H918" s="15"/>
      <c r="I918" s="25"/>
    </row>
    <row r="919" spans="4:9">
      <c r="D919" s="12"/>
      <c r="H919" s="15"/>
      <c r="I919" s="25"/>
    </row>
    <row r="920" spans="4:9">
      <c r="D920" s="12"/>
      <c r="H920" s="15"/>
      <c r="I920" s="25"/>
    </row>
    <row r="921" spans="4:9">
      <c r="D921" s="12"/>
      <c r="H921" s="15"/>
      <c r="I921" s="25"/>
    </row>
    <row r="922" spans="4:9">
      <c r="D922" s="12"/>
      <c r="H922" s="15"/>
      <c r="I922" s="25"/>
    </row>
    <row r="923" spans="4:9">
      <c r="D923" s="12"/>
      <c r="H923" s="15"/>
      <c r="I923" s="25"/>
    </row>
    <row r="924" spans="4:9">
      <c r="D924" s="12"/>
      <c r="H924" s="15"/>
      <c r="I924" s="25"/>
    </row>
    <row r="925" spans="4:9">
      <c r="D925" s="12"/>
      <c r="H925" s="15"/>
      <c r="I925" s="25"/>
    </row>
    <row r="926" spans="4:9">
      <c r="D926" s="12"/>
      <c r="H926" s="15"/>
      <c r="I926" s="25"/>
    </row>
    <row r="927" spans="4:9">
      <c r="D927" s="12"/>
      <c r="H927" s="15"/>
      <c r="I927" s="25"/>
    </row>
    <row r="928" spans="4:9">
      <c r="D928" s="12"/>
      <c r="H928" s="15"/>
      <c r="I928" s="25"/>
    </row>
    <row r="929" spans="4:9">
      <c r="D929" s="12"/>
      <c r="H929" s="15"/>
      <c r="I929" s="25"/>
    </row>
    <row r="930" spans="4:9">
      <c r="D930" s="12"/>
      <c r="H930" s="15"/>
      <c r="I930" s="25"/>
    </row>
    <row r="931" spans="4:9">
      <c r="D931" s="12"/>
      <c r="H931" s="15"/>
      <c r="I931" s="25"/>
    </row>
    <row r="932" spans="4:9">
      <c r="D932" s="12"/>
      <c r="H932" s="15"/>
      <c r="I932" s="25"/>
    </row>
    <row r="933" spans="4:9">
      <c r="D933" s="12"/>
      <c r="H933" s="15"/>
      <c r="I933" s="25"/>
    </row>
    <row r="934" spans="4:9">
      <c r="D934" s="12"/>
      <c r="H934" s="15"/>
      <c r="I934" s="25"/>
    </row>
    <row r="935" spans="4:9">
      <c r="D935" s="12"/>
      <c r="H935" s="15"/>
      <c r="I935" s="25"/>
    </row>
    <row r="936" spans="4:9">
      <c r="D936" s="12"/>
      <c r="H936" s="15"/>
      <c r="I936" s="25"/>
    </row>
    <row r="937" spans="4:9">
      <c r="D937" s="12"/>
      <c r="H937" s="15"/>
      <c r="I937" s="25"/>
    </row>
    <row r="938" spans="4:9">
      <c r="D938" s="12"/>
      <c r="H938" s="15"/>
      <c r="I938" s="25"/>
    </row>
    <row r="939" spans="4:9">
      <c r="D939" s="12"/>
      <c r="H939" s="15"/>
      <c r="I939" s="25"/>
    </row>
    <row r="940" spans="4:9">
      <c r="D940" s="12"/>
      <c r="H940" s="15"/>
      <c r="I940" s="25"/>
    </row>
    <row r="941" spans="4:9">
      <c r="D941" s="12"/>
      <c r="H941" s="15"/>
      <c r="I941" s="25"/>
    </row>
    <row r="942" spans="4:9">
      <c r="D942" s="12"/>
      <c r="H942" s="15"/>
      <c r="I942" s="25"/>
    </row>
    <row r="943" spans="4:9">
      <c r="D943" s="12"/>
      <c r="H943" s="15"/>
      <c r="I943" s="25"/>
    </row>
    <row r="944" spans="4:9">
      <c r="D944" s="12"/>
      <c r="H944" s="15"/>
      <c r="I944" s="25"/>
    </row>
    <row r="945" spans="4:9">
      <c r="D945" s="12"/>
      <c r="H945" s="15"/>
      <c r="I945" s="25"/>
    </row>
    <row r="946" spans="4:9">
      <c r="D946" s="12"/>
      <c r="H946" s="15"/>
      <c r="I946" s="25"/>
    </row>
    <row r="947" spans="4:9">
      <c r="D947" s="12"/>
      <c r="H947" s="15"/>
      <c r="I947" s="25"/>
    </row>
    <row r="948" spans="4:9">
      <c r="D948" s="12"/>
      <c r="H948" s="15"/>
      <c r="I948" s="25"/>
    </row>
    <row r="949" spans="4:9">
      <c r="D949" s="12"/>
      <c r="H949" s="15"/>
      <c r="I949" s="25"/>
    </row>
    <row r="950" spans="4:9">
      <c r="D950" s="12"/>
      <c r="H950" s="15"/>
      <c r="I950" s="25"/>
    </row>
    <row r="951" spans="4:9">
      <c r="D951" s="12"/>
      <c r="H951" s="15"/>
      <c r="I951" s="25"/>
    </row>
    <row r="952" spans="4:9">
      <c r="D952" s="12"/>
      <c r="H952" s="15"/>
      <c r="I952" s="25"/>
    </row>
    <row r="953" spans="4:9">
      <c r="D953" s="12"/>
      <c r="H953" s="15"/>
      <c r="I953" s="25"/>
    </row>
    <row r="954" spans="4:9">
      <c r="D954" s="12"/>
      <c r="H954" s="15"/>
      <c r="I954" s="25"/>
    </row>
    <row r="955" spans="4:9">
      <c r="D955" s="12"/>
      <c r="H955" s="15"/>
      <c r="I955" s="25"/>
    </row>
    <row r="956" spans="4:9">
      <c r="D956" s="12"/>
      <c r="H956" s="15"/>
      <c r="I956" s="25"/>
    </row>
    <row r="957" spans="4:9">
      <c r="D957" s="12"/>
      <c r="H957" s="15"/>
      <c r="I957" s="25"/>
    </row>
    <row r="958" spans="4:9">
      <c r="D958" s="12"/>
      <c r="H958" s="15"/>
      <c r="I958" s="25"/>
    </row>
    <row r="959" spans="4:9">
      <c r="D959" s="12"/>
      <c r="H959" s="15"/>
      <c r="I959" s="25"/>
    </row>
    <row r="960" spans="4:9">
      <c r="D960" s="12"/>
      <c r="H960" s="15"/>
      <c r="I960" s="25"/>
    </row>
    <row r="961" spans="4:9">
      <c r="D961" s="12"/>
      <c r="H961" s="15"/>
      <c r="I961" s="25"/>
    </row>
    <row r="962" spans="4:9">
      <c r="D962" s="12"/>
      <c r="H962" s="15"/>
      <c r="I962" s="25"/>
    </row>
    <row r="963" spans="4:9">
      <c r="D963" s="12"/>
      <c r="H963" s="15"/>
      <c r="I963" s="25"/>
    </row>
    <row r="964" spans="4:9">
      <c r="D964" s="12"/>
      <c r="H964" s="15"/>
      <c r="I964" s="25"/>
    </row>
    <row r="965" spans="4:9">
      <c r="D965" s="12"/>
      <c r="H965" s="15"/>
      <c r="I965" s="25"/>
    </row>
    <row r="966" spans="4:9">
      <c r="D966" s="12"/>
      <c r="H966" s="15"/>
      <c r="I966" s="25"/>
    </row>
    <row r="967" spans="4:9">
      <c r="D967" s="12"/>
      <c r="H967" s="15"/>
      <c r="I967" s="25"/>
    </row>
    <row r="968" spans="4:9">
      <c r="D968" s="12"/>
      <c r="H968" s="15"/>
      <c r="I968" s="25"/>
    </row>
    <row r="969" spans="4:9">
      <c r="D969" s="12"/>
      <c r="H969" s="15"/>
      <c r="I969" s="25"/>
    </row>
    <row r="970" spans="4:9">
      <c r="D970" s="12"/>
      <c r="H970" s="15"/>
      <c r="I970" s="25"/>
    </row>
    <row r="971" spans="4:9">
      <c r="D971" s="12"/>
      <c r="H971" s="15"/>
      <c r="I971" s="25"/>
    </row>
    <row r="972" spans="4:9">
      <c r="D972" s="12"/>
      <c r="H972" s="15"/>
      <c r="I972" s="25"/>
    </row>
    <row r="973" spans="4:9">
      <c r="D973" s="12"/>
      <c r="H973" s="15"/>
      <c r="I973" s="25"/>
    </row>
    <row r="974" spans="4:9">
      <c r="D974" s="12"/>
      <c r="H974" s="15"/>
      <c r="I974" s="25"/>
    </row>
    <row r="975" spans="4:9">
      <c r="D975" s="12"/>
      <c r="H975" s="15"/>
      <c r="I975" s="25"/>
    </row>
    <row r="976" spans="4:9">
      <c r="D976" s="12"/>
      <c r="H976" s="15"/>
      <c r="I976" s="25"/>
    </row>
    <row r="977" spans="4:9">
      <c r="D977" s="12"/>
      <c r="H977" s="15"/>
      <c r="I977" s="25"/>
    </row>
    <row r="978" spans="4:9">
      <c r="D978" s="12"/>
      <c r="H978" s="15"/>
      <c r="I978" s="25"/>
    </row>
    <row r="979" spans="4:9">
      <c r="D979" s="12"/>
      <c r="H979" s="15"/>
      <c r="I979" s="25"/>
    </row>
    <row r="980" spans="4:9">
      <c r="D980" s="12"/>
      <c r="H980" s="15"/>
      <c r="I980" s="25"/>
    </row>
    <row r="981" spans="4:9">
      <c r="D981" s="12"/>
      <c r="H981" s="15"/>
      <c r="I981" s="25"/>
    </row>
    <row r="982" spans="4:9">
      <c r="D982" s="12"/>
      <c r="H982" s="15"/>
      <c r="I982" s="25"/>
    </row>
    <row r="983" spans="4:9">
      <c r="D983" s="12"/>
      <c r="H983" s="15"/>
      <c r="I983" s="25"/>
    </row>
    <row r="984" spans="4:9">
      <c r="D984" s="12"/>
      <c r="H984" s="15"/>
      <c r="I984" s="25"/>
    </row>
    <row r="985" spans="4:9">
      <c r="D985" s="12"/>
      <c r="H985" s="15"/>
      <c r="I985" s="25"/>
    </row>
    <row r="986" spans="4:9">
      <c r="D986" s="12"/>
      <c r="H986" s="15"/>
      <c r="I986" s="25"/>
    </row>
    <row r="987" spans="4:9">
      <c r="D987" s="12"/>
      <c r="H987" s="15"/>
      <c r="I987" s="25"/>
    </row>
    <row r="988" spans="4:9">
      <c r="D988" s="12"/>
      <c r="H988" s="15"/>
      <c r="I988" s="25"/>
    </row>
    <row r="989" spans="4:9">
      <c r="D989" s="12"/>
      <c r="H989" s="15"/>
      <c r="I989" s="25"/>
    </row>
    <row r="990" spans="4:9">
      <c r="D990" s="12"/>
      <c r="H990" s="15"/>
      <c r="I990" s="25"/>
    </row>
    <row r="991" spans="4:9">
      <c r="D991" s="12"/>
      <c r="H991" s="15"/>
      <c r="I991" s="25"/>
    </row>
    <row r="992" spans="4:9">
      <c r="D992" s="12"/>
      <c r="H992" s="15"/>
      <c r="I992" s="25"/>
    </row>
    <row r="993" spans="4:9">
      <c r="D993" s="12"/>
      <c r="H993" s="15"/>
      <c r="I993" s="25"/>
    </row>
    <row r="994" spans="4:9">
      <c r="D994" s="12"/>
      <c r="H994" s="15"/>
      <c r="I994" s="25"/>
    </row>
    <row r="995" spans="4:9">
      <c r="D995" s="12"/>
      <c r="H995" s="15"/>
      <c r="I995" s="25"/>
    </row>
    <row r="996" spans="4:9">
      <c r="D996" s="12"/>
      <c r="H996" s="15"/>
      <c r="I996" s="25"/>
    </row>
    <row r="997" spans="4:9">
      <c r="D997" s="12"/>
      <c r="H997" s="15"/>
      <c r="I997" s="25"/>
    </row>
    <row r="998" spans="4:9">
      <c r="D998" s="12"/>
      <c r="H998" s="15"/>
      <c r="I998" s="25"/>
    </row>
    <row r="999" spans="4:9">
      <c r="D999" s="12"/>
      <c r="H999" s="15"/>
      <c r="I999" s="25"/>
    </row>
    <row r="1000" spans="4:9">
      <c r="D1000" s="12"/>
      <c r="H1000" s="15"/>
      <c r="I1000" s="25"/>
    </row>
    <row r="1001" spans="4:9">
      <c r="D1001" s="12"/>
      <c r="H1001" s="15"/>
      <c r="I1001" s="25"/>
    </row>
    <row r="1002" spans="4:9">
      <c r="D1002" s="12"/>
      <c r="H1002" s="15"/>
      <c r="I1002" s="25"/>
    </row>
    <row r="1003" spans="4:9">
      <c r="D1003" s="12"/>
      <c r="H1003" s="15"/>
      <c r="I1003" s="25"/>
    </row>
    <row r="1004" spans="4:9">
      <c r="D1004" s="12"/>
      <c r="H1004" s="15"/>
      <c r="I1004" s="25"/>
    </row>
    <row r="1005" spans="4:9">
      <c r="D1005" s="12"/>
      <c r="H1005" s="15"/>
      <c r="I1005" s="25"/>
    </row>
    <row r="1006" spans="4:9">
      <c r="D1006" s="12"/>
      <c r="H1006" s="15"/>
      <c r="I1006" s="25"/>
    </row>
    <row r="1007" spans="4:9">
      <c r="D1007" s="12"/>
      <c r="H1007" s="15"/>
      <c r="I1007" s="25"/>
    </row>
    <row r="1008" spans="4:9">
      <c r="D1008" s="12"/>
      <c r="H1008" s="15"/>
      <c r="I1008" s="25"/>
    </row>
    <row r="1009" spans="4:9">
      <c r="D1009" s="12"/>
      <c r="H1009" s="15"/>
      <c r="I1009" s="25"/>
    </row>
    <row r="1010" spans="4:9">
      <c r="D1010" s="12"/>
      <c r="H1010" s="15"/>
      <c r="I1010" s="25"/>
    </row>
    <row r="1011" spans="4:9">
      <c r="D1011" s="12"/>
      <c r="H1011" s="15"/>
      <c r="I1011" s="25"/>
    </row>
    <row r="1012" spans="4:9">
      <c r="D1012" s="12"/>
      <c r="H1012" s="15"/>
      <c r="I1012" s="25"/>
    </row>
    <row r="1013" spans="4:9">
      <c r="D1013" s="12"/>
      <c r="H1013" s="15"/>
      <c r="I1013" s="25"/>
    </row>
    <row r="1014" spans="4:9">
      <c r="D1014" s="12"/>
      <c r="H1014" s="15"/>
      <c r="I1014" s="25"/>
    </row>
    <row r="1015" spans="4:9">
      <c r="D1015" s="12"/>
      <c r="H1015" s="15"/>
      <c r="I1015" s="25"/>
    </row>
    <row r="1016" spans="4:9">
      <c r="D1016" s="12"/>
      <c r="H1016" s="15"/>
      <c r="I1016" s="25"/>
    </row>
    <row r="1017" spans="4:9">
      <c r="D1017" s="12"/>
      <c r="H1017" s="15"/>
      <c r="I1017" s="25"/>
    </row>
    <row r="1018" spans="4:9">
      <c r="D1018" s="12"/>
      <c r="H1018" s="15"/>
      <c r="I1018" s="25"/>
    </row>
    <row r="1019" spans="4:9">
      <c r="D1019" s="12"/>
      <c r="H1019" s="15"/>
      <c r="I1019" s="25"/>
    </row>
    <row r="1020" spans="4:9">
      <c r="D1020" s="12"/>
      <c r="H1020" s="15"/>
      <c r="I1020" s="25"/>
    </row>
    <row r="1021" spans="4:9">
      <c r="D1021" s="12"/>
      <c r="H1021" s="15"/>
      <c r="I1021" s="25"/>
    </row>
    <row r="1022" spans="4:9">
      <c r="D1022" s="12"/>
      <c r="H1022" s="15"/>
      <c r="I1022" s="25"/>
    </row>
    <row r="1023" spans="4:9">
      <c r="D1023" s="12"/>
      <c r="H1023" s="15"/>
      <c r="I1023" s="25"/>
    </row>
    <row r="1024" spans="4:9">
      <c r="D1024" s="12"/>
      <c r="H1024" s="15"/>
      <c r="I1024" s="25"/>
    </row>
    <row r="1025" spans="4:9">
      <c r="D1025" s="12"/>
      <c r="H1025" s="15"/>
      <c r="I1025" s="25"/>
    </row>
    <row r="1026" spans="4:9">
      <c r="D1026" s="12"/>
      <c r="H1026" s="15"/>
      <c r="I1026" s="25"/>
    </row>
    <row r="1027" spans="4:9">
      <c r="D1027" s="12"/>
      <c r="H1027" s="15"/>
      <c r="I1027" s="25"/>
    </row>
  </sheetData>
  <autoFilter ref="B3:AF3" xr:uid="{00000000-0009-0000-0000-000002000000}"/>
  <mergeCells count="3">
    <mergeCell ref="B194:B195"/>
    <mergeCell ref="B196:B197"/>
    <mergeCell ref="B198:B199"/>
  </mergeCells>
  <conditionalFormatting sqref="I3:I203">
    <cfRule type="cellIs" dxfId="41" priority="7" operator="equal">
      <formula>"OK but improveable"</formula>
    </cfRule>
    <cfRule type="containsText" dxfId="40" priority="9" operator="containsText" text="Not tested, not relevant, but should be ok">
      <formula>NOT(ISERROR(SEARCH(("Not tested, not relevant, but should be ok"),(I3))))</formula>
    </cfRule>
    <cfRule type="cellIs" dxfId="39" priority="10" operator="equal">
      <formula>"not working but not relvant"</formula>
    </cfRule>
  </conditionalFormatting>
  <conditionalFormatting sqref="I4:I203">
    <cfRule type="cellIs" dxfId="38" priority="1" operator="equal">
      <formula>"OK"</formula>
    </cfRule>
    <cfRule type="cellIs" dxfId="37" priority="2" operator="equal">
      <formula>"Working but not fully tested"</formula>
    </cfRule>
    <cfRule type="cellIs" dxfId="36" priority="3" operator="equal">
      <formula>"random issues"</formula>
    </cfRule>
    <cfRule type="cellIs" dxfId="35" priority="4" operator="equal">
      <formula>"not working"</formula>
    </cfRule>
    <cfRule type="cellIs" dxfId="34" priority="5" operator="equal">
      <formula>"solvable issue"</formula>
    </cfRule>
    <cfRule type="cellIs" dxfId="33" priority="6" operator="equal">
      <formula>"repeatable issue"</formula>
    </cfRule>
    <cfRule type="cellIs" dxfId="32" priority="8" operator="equal">
      <formula>"OOR-Test OK"</formula>
    </cfRule>
    <cfRule type="cellIs" dxfId="31" priority="11" operator="equal">
      <formula>"not measured, but should be ok"</formula>
    </cfRule>
    <cfRule type="cellIs" dxfId="30" priority="12" operator="equal">
      <formula>"tested but inaccurate"</formula>
    </cfRule>
    <cfRule type="cellIs" dxfId="29" priority="13" operator="equal">
      <formula>"tested but inaccurate, not important"</formula>
    </cfRule>
    <cfRule type="cellIs" dxfId="28" priority="14" operator="equal">
      <formula>"OK, preliminary"</formula>
    </cfRule>
  </conditionalFormatting>
  <dataValidations count="1">
    <dataValidation type="list" allowBlank="1" sqref="I4:I202" xr:uid="{00000000-0002-0000-0200-000000000000}">
      <formula1>"OK,OK but improveable,Working but not fully tested,OK, improveable,  doesn't matter,solvable issue,repeatable issue,random issues,not working,Not tested, not relevant, but should be ok,Not tested yet,not working but not relvant,not measured, but should be"&amp;" ok,tested but inaccurate,tested but inaccurate, not important,OK, preliminary"</formula1>
    </dataValidation>
  </dataValidations>
  <printOptions horizontalCentered="1" gridLines="1"/>
  <pageMargins left="0.7" right="0.7" top="0.75" bottom="0.75" header="0" footer="0"/>
  <pageSetup paperSize="9" scale="55"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F719"/>
  <sheetViews>
    <sheetView workbookViewId="0">
      <selection activeCell="C4" sqref="C4"/>
    </sheetView>
  </sheetViews>
  <sheetFormatPr defaultColWidth="12.7109375" defaultRowHeight="15.75" customHeight="1"/>
  <cols>
    <col min="1" max="1" width="8" customWidth="1"/>
    <col min="2" max="2" width="34.7109375" customWidth="1"/>
    <col min="3" max="3" width="58.140625" customWidth="1"/>
    <col min="4" max="4" width="12.42578125" customWidth="1"/>
    <col min="5" max="7" width="6.7109375" customWidth="1"/>
    <col min="9" max="9" width="30.42578125" customWidth="1"/>
    <col min="10" max="10" width="27.7109375" customWidth="1"/>
    <col min="11" max="11" width="13.140625" customWidth="1"/>
    <col min="20" max="20" width="14.7109375" customWidth="1"/>
    <col min="25" max="25" width="15.28515625" customWidth="1"/>
    <col min="26" max="26" width="16" customWidth="1"/>
  </cols>
  <sheetData>
    <row r="1" spans="1:32">
      <c r="A1" s="11" t="s">
        <v>402</v>
      </c>
      <c r="B1" s="11"/>
      <c r="C1" s="3"/>
      <c r="D1" s="12"/>
      <c r="E1" s="3"/>
      <c r="F1" s="3"/>
      <c r="G1" s="3"/>
      <c r="H1" s="13"/>
      <c r="I1" s="3"/>
      <c r="J1" s="13"/>
    </row>
    <row r="2" spans="1:32">
      <c r="A2" s="11"/>
      <c r="B2" s="11" t="s">
        <v>11</v>
      </c>
      <c r="C2" s="3" t="s">
        <v>12</v>
      </c>
      <c r="D2" s="12" t="s">
        <v>13</v>
      </c>
      <c r="E2" s="3">
        <f>COUNTA(I4:I38)</f>
        <v>35</v>
      </c>
      <c r="F2" s="3" t="s">
        <v>14</v>
      </c>
      <c r="G2" s="3">
        <f>(38-3)</f>
        <v>35</v>
      </c>
      <c r="H2" s="13">
        <f>E2/G2</f>
        <v>1</v>
      </c>
      <c r="I2" s="3" t="s">
        <v>15</v>
      </c>
      <c r="J2" s="13"/>
    </row>
    <row r="3" spans="1:32">
      <c r="A3" s="11" t="s">
        <v>16</v>
      </c>
      <c r="B3" s="3" t="s">
        <v>17</v>
      </c>
      <c r="C3" s="3" t="s">
        <v>18</v>
      </c>
      <c r="D3" s="14" t="s">
        <v>19</v>
      </c>
      <c r="E3" s="3" t="s">
        <v>20</v>
      </c>
      <c r="H3" s="15" t="s">
        <v>21</v>
      </c>
      <c r="I3" s="3" t="s">
        <v>22</v>
      </c>
      <c r="J3" s="3" t="s">
        <v>23</v>
      </c>
    </row>
    <row r="4" spans="1:32">
      <c r="A4" s="16" t="s">
        <v>24</v>
      </c>
      <c r="B4" s="16" t="s">
        <v>25</v>
      </c>
      <c r="C4" s="16" t="s">
        <v>26</v>
      </c>
      <c r="D4" s="18">
        <v>3.71</v>
      </c>
      <c r="E4" s="16" t="s">
        <v>27</v>
      </c>
      <c r="F4" s="16" t="s">
        <v>28</v>
      </c>
      <c r="G4" s="16" t="s">
        <v>29</v>
      </c>
      <c r="H4" s="19">
        <v>45596</v>
      </c>
      <c r="I4" s="17" t="s">
        <v>30</v>
      </c>
      <c r="J4" s="16" t="s">
        <v>403</v>
      </c>
      <c r="K4" s="16"/>
      <c r="L4" s="16"/>
      <c r="M4" s="16"/>
      <c r="N4" s="16"/>
      <c r="O4" s="16"/>
      <c r="P4" s="16"/>
      <c r="Q4" s="16"/>
      <c r="R4" s="16"/>
      <c r="S4" s="16"/>
      <c r="T4" s="16"/>
      <c r="U4" s="16"/>
      <c r="V4" s="16"/>
      <c r="W4" s="16"/>
      <c r="X4" s="16"/>
      <c r="Y4" s="16"/>
      <c r="Z4" s="16"/>
      <c r="AA4" s="16"/>
      <c r="AB4" s="16"/>
      <c r="AC4" s="16"/>
      <c r="AD4" s="16"/>
      <c r="AE4" s="16"/>
      <c r="AF4" s="16"/>
    </row>
    <row r="5" spans="1:32">
      <c r="A5" s="16" t="s">
        <v>24</v>
      </c>
      <c r="B5" s="16" t="s">
        <v>25</v>
      </c>
      <c r="C5" s="16" t="s">
        <v>404</v>
      </c>
      <c r="D5" s="18">
        <v>22.3</v>
      </c>
      <c r="E5" s="16" t="s">
        <v>36</v>
      </c>
      <c r="F5" s="16"/>
      <c r="G5" s="16"/>
      <c r="H5" s="19">
        <v>45664</v>
      </c>
      <c r="I5" s="17" t="s">
        <v>30</v>
      </c>
      <c r="J5" s="16"/>
      <c r="K5" s="16"/>
      <c r="L5" s="16"/>
      <c r="M5" s="16"/>
      <c r="N5" s="16"/>
      <c r="O5" s="16"/>
      <c r="P5" s="16"/>
      <c r="Q5" s="16"/>
      <c r="R5" s="16"/>
      <c r="S5" s="16"/>
      <c r="T5" s="16"/>
      <c r="U5" s="16"/>
      <c r="V5" s="16"/>
      <c r="W5" s="16"/>
      <c r="X5" s="16"/>
      <c r="Y5" s="16"/>
      <c r="Z5" s="16"/>
      <c r="AA5" s="16"/>
      <c r="AB5" s="16"/>
      <c r="AC5" s="16"/>
      <c r="AD5" s="16"/>
      <c r="AE5" s="16"/>
      <c r="AF5" s="16"/>
    </row>
    <row r="6" spans="1:32">
      <c r="A6" s="16" t="s">
        <v>24</v>
      </c>
      <c r="B6" s="16" t="s">
        <v>25</v>
      </c>
      <c r="C6" s="16" t="s">
        <v>39</v>
      </c>
      <c r="D6" s="18">
        <v>101</v>
      </c>
      <c r="E6" s="16" t="s">
        <v>36</v>
      </c>
      <c r="F6" s="16"/>
      <c r="G6" s="16"/>
      <c r="H6" s="19">
        <v>45597</v>
      </c>
      <c r="I6" s="17" t="s">
        <v>30</v>
      </c>
      <c r="J6" s="16"/>
      <c r="K6" s="16"/>
      <c r="L6" s="16"/>
      <c r="M6" s="16"/>
      <c r="N6" s="16"/>
      <c r="O6" s="16"/>
      <c r="P6" s="16"/>
      <c r="Q6" s="16"/>
      <c r="R6" s="16"/>
      <c r="S6" s="16"/>
      <c r="T6" s="16"/>
      <c r="U6" s="16"/>
      <c r="V6" s="16"/>
      <c r="W6" s="16"/>
      <c r="X6" s="16"/>
      <c r="Y6" s="16"/>
      <c r="Z6" s="16"/>
      <c r="AA6" s="16"/>
      <c r="AB6" s="16"/>
      <c r="AC6" s="16"/>
      <c r="AD6" s="16"/>
      <c r="AE6" s="16"/>
      <c r="AF6" s="16"/>
    </row>
    <row r="7" spans="1:32">
      <c r="A7" s="16" t="s">
        <v>24</v>
      </c>
      <c r="B7" s="16" t="s">
        <v>25</v>
      </c>
      <c r="C7" s="16" t="s">
        <v>44</v>
      </c>
      <c r="D7" s="18">
        <v>215</v>
      </c>
      <c r="E7" s="16" t="s">
        <v>36</v>
      </c>
      <c r="F7" s="16"/>
      <c r="G7" s="16"/>
      <c r="H7" s="19">
        <v>45623</v>
      </c>
      <c r="I7" s="17" t="s">
        <v>30</v>
      </c>
      <c r="J7" s="16"/>
      <c r="K7" s="16"/>
      <c r="L7" s="16"/>
      <c r="M7" s="16"/>
      <c r="N7" s="16"/>
      <c r="O7" s="16"/>
      <c r="P7" s="16"/>
      <c r="Q7" s="16"/>
      <c r="R7" s="16"/>
      <c r="S7" s="16"/>
      <c r="T7" s="16"/>
      <c r="U7" s="16"/>
      <c r="V7" s="16"/>
      <c r="W7" s="16"/>
      <c r="X7" s="16"/>
      <c r="Y7" s="16"/>
      <c r="Z7" s="16"/>
      <c r="AA7" s="16"/>
      <c r="AB7" s="16"/>
      <c r="AC7" s="16"/>
      <c r="AD7" s="16"/>
      <c r="AE7" s="16"/>
      <c r="AF7" s="16"/>
    </row>
    <row r="8" spans="1:32">
      <c r="A8" s="16" t="s">
        <v>24</v>
      </c>
      <c r="B8" s="16" t="s">
        <v>45</v>
      </c>
      <c r="C8" s="16" t="s">
        <v>401</v>
      </c>
      <c r="D8" s="18">
        <v>114</v>
      </c>
      <c r="E8" s="16" t="s">
        <v>47</v>
      </c>
      <c r="F8" s="16"/>
      <c r="G8" s="16"/>
      <c r="H8" s="19">
        <v>45597</v>
      </c>
      <c r="I8" s="17" t="s">
        <v>30</v>
      </c>
      <c r="J8" s="16"/>
      <c r="K8" s="16"/>
      <c r="L8" s="16"/>
      <c r="M8" s="16"/>
      <c r="N8" s="16"/>
      <c r="O8" s="16"/>
      <c r="P8" s="16"/>
      <c r="Q8" s="16"/>
      <c r="R8" s="16"/>
      <c r="S8" s="16"/>
      <c r="T8" s="16"/>
      <c r="U8" s="16"/>
      <c r="V8" s="16"/>
      <c r="W8" s="16"/>
      <c r="X8" s="16"/>
      <c r="Y8" s="16"/>
      <c r="Z8" s="16"/>
      <c r="AA8" s="16"/>
      <c r="AB8" s="16"/>
      <c r="AC8" s="16"/>
      <c r="AD8" s="16"/>
      <c r="AE8" s="16"/>
      <c r="AF8" s="16"/>
    </row>
    <row r="9" spans="1:32">
      <c r="A9" s="16" t="s">
        <v>24</v>
      </c>
      <c r="B9" s="16" t="s">
        <v>63</v>
      </c>
      <c r="C9" s="3" t="s">
        <v>64</v>
      </c>
      <c r="D9" s="18">
        <v>12.204000000000001</v>
      </c>
      <c r="E9" s="16" t="s">
        <v>27</v>
      </c>
      <c r="F9" s="16"/>
      <c r="G9" s="16"/>
      <c r="H9" s="19">
        <v>45596</v>
      </c>
      <c r="I9" s="17" t="s">
        <v>30</v>
      </c>
      <c r="J9" s="16"/>
      <c r="K9" s="16"/>
      <c r="L9" s="16"/>
      <c r="M9" s="16"/>
      <c r="N9" s="16"/>
      <c r="O9" s="16"/>
      <c r="P9" s="16"/>
      <c r="Q9" s="16"/>
      <c r="R9" s="16"/>
      <c r="S9" s="16"/>
      <c r="T9" s="16"/>
      <c r="U9" s="16"/>
      <c r="V9" s="16"/>
      <c r="W9" s="16"/>
      <c r="X9" s="16"/>
      <c r="Y9" s="16"/>
      <c r="Z9" s="16"/>
      <c r="AA9" s="16"/>
      <c r="AB9" s="16"/>
      <c r="AC9" s="16"/>
      <c r="AD9" s="16"/>
      <c r="AE9" s="16"/>
      <c r="AF9" s="16"/>
    </row>
    <row r="10" spans="1:32">
      <c r="A10" s="16" t="s">
        <v>24</v>
      </c>
      <c r="B10" s="16" t="s">
        <v>65</v>
      </c>
      <c r="C10" s="3" t="s">
        <v>66</v>
      </c>
      <c r="D10" s="18">
        <v>9.0549999999999997</v>
      </c>
      <c r="E10" s="16" t="s">
        <v>27</v>
      </c>
      <c r="F10" s="16"/>
      <c r="G10" s="16"/>
      <c r="H10" s="19">
        <v>45596</v>
      </c>
      <c r="I10" s="17" t="s">
        <v>30</v>
      </c>
      <c r="J10" s="16"/>
      <c r="K10" s="16"/>
      <c r="L10" s="16"/>
      <c r="M10" s="16"/>
      <c r="N10" s="16"/>
      <c r="O10" s="16"/>
      <c r="P10" s="16"/>
      <c r="Q10" s="16"/>
      <c r="R10" s="16"/>
      <c r="S10" s="16"/>
      <c r="T10" s="16"/>
      <c r="U10" s="16"/>
      <c r="V10" s="16"/>
      <c r="W10" s="16"/>
      <c r="X10" s="16"/>
      <c r="Y10" s="16"/>
      <c r="Z10" s="16"/>
      <c r="AA10" s="16"/>
      <c r="AB10" s="16"/>
      <c r="AC10" s="16"/>
      <c r="AD10" s="16"/>
      <c r="AE10" s="16"/>
      <c r="AF10" s="16"/>
    </row>
    <row r="11" spans="1:32">
      <c r="A11" s="16" t="s">
        <v>24</v>
      </c>
      <c r="B11" s="16" t="s">
        <v>67</v>
      </c>
      <c r="C11" s="3" t="s">
        <v>62</v>
      </c>
      <c r="D11" s="18">
        <v>12.475</v>
      </c>
      <c r="E11" s="16" t="s">
        <v>27</v>
      </c>
      <c r="F11" s="16"/>
      <c r="G11" s="16"/>
      <c r="H11" s="19">
        <v>45596</v>
      </c>
      <c r="I11" s="17" t="s">
        <v>30</v>
      </c>
      <c r="J11" s="16"/>
      <c r="K11" s="16"/>
      <c r="L11" s="16"/>
      <c r="M11" s="16"/>
      <c r="N11" s="16"/>
      <c r="O11" s="16"/>
      <c r="P11" s="16"/>
      <c r="Q11" s="16"/>
      <c r="R11" s="16"/>
      <c r="S11" s="16"/>
      <c r="T11" s="16"/>
      <c r="U11" s="16"/>
      <c r="V11" s="16"/>
      <c r="W11" s="16"/>
      <c r="X11" s="16"/>
      <c r="Y11" s="16"/>
      <c r="Z11" s="16"/>
      <c r="AA11" s="16"/>
      <c r="AB11" s="16"/>
      <c r="AC11" s="16"/>
      <c r="AD11" s="16"/>
      <c r="AE11" s="16"/>
      <c r="AF11" s="16"/>
    </row>
    <row r="12" spans="1:32">
      <c r="A12" s="16" t="s">
        <v>24</v>
      </c>
      <c r="B12" s="16" t="s">
        <v>68</v>
      </c>
      <c r="C12" s="3" t="s">
        <v>62</v>
      </c>
      <c r="D12" s="18">
        <v>11.79</v>
      </c>
      <c r="E12" s="16" t="s">
        <v>27</v>
      </c>
      <c r="F12" s="16"/>
      <c r="G12" s="16"/>
      <c r="H12" s="19">
        <v>45596</v>
      </c>
      <c r="I12" s="17" t="s">
        <v>30</v>
      </c>
      <c r="J12" s="16"/>
      <c r="K12" s="16"/>
      <c r="L12" s="16"/>
      <c r="M12" s="16"/>
      <c r="N12" s="16"/>
      <c r="O12" s="16"/>
      <c r="P12" s="16"/>
      <c r="Q12" s="16"/>
      <c r="R12" s="16"/>
      <c r="S12" s="16"/>
      <c r="T12" s="16"/>
      <c r="U12" s="16"/>
      <c r="V12" s="16"/>
      <c r="W12" s="16"/>
      <c r="X12" s="16"/>
      <c r="Y12" s="16"/>
      <c r="Z12" s="16"/>
      <c r="AA12" s="16"/>
      <c r="AB12" s="16"/>
      <c r="AC12" s="16"/>
      <c r="AD12" s="16"/>
      <c r="AE12" s="16"/>
      <c r="AF12" s="16"/>
    </row>
    <row r="13" spans="1:32">
      <c r="A13" s="16" t="s">
        <v>24</v>
      </c>
      <c r="B13" s="16" t="s">
        <v>69</v>
      </c>
      <c r="C13" s="3" t="s">
        <v>62</v>
      </c>
      <c r="D13" s="18">
        <v>12.108000000000001</v>
      </c>
      <c r="E13" s="16" t="s">
        <v>27</v>
      </c>
      <c r="F13" s="16"/>
      <c r="G13" s="16"/>
      <c r="H13" s="19">
        <v>45596</v>
      </c>
      <c r="I13" s="17" t="s">
        <v>30</v>
      </c>
      <c r="J13" s="16"/>
      <c r="K13" s="16"/>
      <c r="L13" s="16"/>
      <c r="M13" s="16"/>
      <c r="N13" s="16"/>
      <c r="O13" s="16"/>
      <c r="P13" s="16"/>
      <c r="Q13" s="16"/>
      <c r="R13" s="16"/>
      <c r="S13" s="16"/>
      <c r="T13" s="16"/>
      <c r="U13" s="16"/>
      <c r="V13" s="16"/>
      <c r="W13" s="16"/>
      <c r="X13" s="16"/>
      <c r="Y13" s="16"/>
      <c r="Z13" s="16"/>
      <c r="AA13" s="16"/>
      <c r="AB13" s="16"/>
      <c r="AC13" s="16"/>
      <c r="AD13" s="16"/>
      <c r="AE13" s="16"/>
      <c r="AF13" s="16"/>
    </row>
    <row r="14" spans="1:32">
      <c r="A14" s="16" t="s">
        <v>24</v>
      </c>
      <c r="B14" s="16" t="s">
        <v>116</v>
      </c>
      <c r="C14" s="16" t="s">
        <v>120</v>
      </c>
      <c r="D14" s="23">
        <v>20.79</v>
      </c>
      <c r="E14" s="16" t="s">
        <v>36</v>
      </c>
      <c r="F14" s="54">
        <f>D14*400/1000</f>
        <v>8.3160000000000007</v>
      </c>
      <c r="G14" s="16" t="s">
        <v>118</v>
      </c>
      <c r="H14" s="19">
        <v>45664</v>
      </c>
      <c r="I14" s="17" t="s">
        <v>30</v>
      </c>
      <c r="J14" s="16"/>
      <c r="K14" s="16"/>
      <c r="L14" s="16"/>
      <c r="M14" s="16"/>
      <c r="N14" s="16"/>
      <c r="O14" s="16"/>
      <c r="P14" s="16"/>
      <c r="Q14" s="16"/>
      <c r="R14" s="16"/>
      <c r="S14" s="16"/>
      <c r="T14" s="16"/>
      <c r="U14" s="16"/>
      <c r="V14" s="16"/>
      <c r="W14" s="16"/>
      <c r="X14" s="16"/>
      <c r="Y14" s="16"/>
      <c r="Z14" s="16"/>
      <c r="AA14" s="16"/>
      <c r="AB14" s="16"/>
      <c r="AC14" s="16"/>
      <c r="AD14" s="16"/>
      <c r="AE14" s="16"/>
      <c r="AF14" s="16"/>
    </row>
    <row r="15" spans="1:32">
      <c r="A15" s="16" t="s">
        <v>24</v>
      </c>
      <c r="B15" s="16" t="s">
        <v>116</v>
      </c>
      <c r="C15" s="16" t="s">
        <v>121</v>
      </c>
      <c r="D15" s="23">
        <v>16.66</v>
      </c>
      <c r="E15" s="16" t="s">
        <v>36</v>
      </c>
      <c r="F15" s="54">
        <f>D15*500/1000</f>
        <v>8.33</v>
      </c>
      <c r="G15" s="16" t="s">
        <v>118</v>
      </c>
      <c r="H15" s="19">
        <v>45664</v>
      </c>
      <c r="I15" s="17" t="s">
        <v>30</v>
      </c>
      <c r="J15" s="16"/>
      <c r="K15" s="16"/>
      <c r="L15" s="16"/>
      <c r="M15" s="16"/>
      <c r="N15" s="16"/>
      <c r="O15" s="16"/>
      <c r="P15" s="16"/>
      <c r="Q15" s="16"/>
      <c r="R15" s="16"/>
      <c r="S15" s="16"/>
      <c r="T15" s="16"/>
      <c r="U15" s="16"/>
      <c r="V15" s="16"/>
      <c r="W15" s="16"/>
      <c r="X15" s="16"/>
      <c r="Y15" s="16"/>
      <c r="Z15" s="16"/>
      <c r="AA15" s="16"/>
      <c r="AB15" s="16"/>
      <c r="AC15" s="16"/>
      <c r="AD15" s="16"/>
      <c r="AE15" s="16"/>
      <c r="AF15" s="16"/>
    </row>
    <row r="16" spans="1:32">
      <c r="A16" s="16" t="s">
        <v>24</v>
      </c>
      <c r="B16" s="16" t="s">
        <v>116</v>
      </c>
      <c r="C16" s="16" t="s">
        <v>122</v>
      </c>
      <c r="D16" s="54">
        <v>11.337</v>
      </c>
      <c r="E16" s="16" t="s">
        <v>36</v>
      </c>
      <c r="F16" s="54">
        <f>D16*600/1000</f>
        <v>6.8022</v>
      </c>
      <c r="G16" s="16" t="s">
        <v>118</v>
      </c>
      <c r="H16" s="19">
        <v>45664</v>
      </c>
      <c r="I16" s="17" t="s">
        <v>30</v>
      </c>
      <c r="J16" s="16"/>
      <c r="K16" s="16"/>
      <c r="L16" s="16"/>
      <c r="M16" s="16"/>
      <c r="N16" s="16"/>
      <c r="O16" s="16"/>
      <c r="P16" s="16"/>
      <c r="Q16" s="16"/>
      <c r="R16" s="16"/>
      <c r="S16" s="16"/>
      <c r="T16" s="16"/>
      <c r="U16" s="16"/>
      <c r="V16" s="16"/>
      <c r="W16" s="16"/>
      <c r="X16" s="16"/>
      <c r="Y16" s="16"/>
      <c r="Z16" s="16"/>
      <c r="AA16" s="16"/>
      <c r="AB16" s="16"/>
      <c r="AC16" s="16"/>
      <c r="AD16" s="16"/>
      <c r="AE16" s="16"/>
      <c r="AF16" s="16"/>
    </row>
    <row r="17" spans="1:32">
      <c r="A17" s="16" t="s">
        <v>24</v>
      </c>
      <c r="B17" s="16" t="s">
        <v>123</v>
      </c>
      <c r="C17" s="16" t="s">
        <v>128</v>
      </c>
      <c r="D17" s="18">
        <v>347</v>
      </c>
      <c r="E17" s="16" t="s">
        <v>125</v>
      </c>
      <c r="F17" s="16"/>
      <c r="G17" s="16"/>
      <c r="H17" s="19">
        <v>45624</v>
      </c>
      <c r="I17" s="17" t="s">
        <v>30</v>
      </c>
      <c r="J17" s="16"/>
      <c r="K17" s="16"/>
      <c r="L17" s="16"/>
      <c r="M17" s="16"/>
      <c r="N17" s="16"/>
      <c r="O17" s="16"/>
      <c r="P17" s="16"/>
      <c r="Q17" s="16"/>
      <c r="R17" s="16"/>
      <c r="S17" s="16"/>
      <c r="T17" s="16"/>
      <c r="U17" s="16"/>
      <c r="V17" s="16"/>
      <c r="W17" s="16"/>
      <c r="X17" s="16"/>
      <c r="Y17" s="16"/>
      <c r="Z17" s="16"/>
      <c r="AA17" s="16"/>
      <c r="AB17" s="16"/>
      <c r="AC17" s="16"/>
      <c r="AD17" s="16"/>
      <c r="AE17" s="16"/>
      <c r="AF17" s="16"/>
    </row>
    <row r="18" spans="1:32">
      <c r="A18" s="16" t="s">
        <v>24</v>
      </c>
      <c r="B18" s="16" t="s">
        <v>123</v>
      </c>
      <c r="C18" s="16" t="s">
        <v>146</v>
      </c>
      <c r="D18" s="18">
        <v>90</v>
      </c>
      <c r="E18" s="16" t="s">
        <v>125</v>
      </c>
      <c r="F18" s="16"/>
      <c r="G18" s="16"/>
      <c r="H18" s="19">
        <v>45599</v>
      </c>
      <c r="I18" s="17" t="s">
        <v>30</v>
      </c>
      <c r="J18" s="16" t="s">
        <v>147</v>
      </c>
      <c r="K18" s="16"/>
      <c r="L18" s="16"/>
      <c r="M18" s="16"/>
      <c r="N18" s="16"/>
      <c r="O18" s="16"/>
      <c r="P18" s="16"/>
      <c r="Q18" s="16"/>
      <c r="R18" s="16"/>
      <c r="S18" s="16"/>
      <c r="T18" s="16"/>
      <c r="U18" s="16"/>
      <c r="V18" s="16"/>
      <c r="W18" s="16"/>
      <c r="X18" s="16"/>
      <c r="Y18" s="16"/>
      <c r="Z18" s="16"/>
      <c r="AA18" s="16"/>
      <c r="AB18" s="16"/>
      <c r="AC18" s="16"/>
      <c r="AD18" s="16"/>
      <c r="AE18" s="16"/>
      <c r="AF18" s="16"/>
    </row>
    <row r="19" spans="1:32">
      <c r="A19" s="16" t="s">
        <v>24</v>
      </c>
      <c r="B19" s="16" t="s">
        <v>174</v>
      </c>
      <c r="C19" s="16" t="s">
        <v>175</v>
      </c>
      <c r="D19" s="18" t="s">
        <v>176</v>
      </c>
      <c r="E19" s="16" t="s">
        <v>27</v>
      </c>
      <c r="F19" s="16"/>
      <c r="G19" s="16"/>
      <c r="H19" s="19">
        <v>45623</v>
      </c>
      <c r="I19" s="17" t="s">
        <v>30</v>
      </c>
      <c r="J19" s="16" t="s">
        <v>177</v>
      </c>
      <c r="K19" s="16"/>
      <c r="L19" s="16"/>
      <c r="M19" s="16"/>
      <c r="N19" s="16"/>
      <c r="O19" s="16"/>
      <c r="P19" s="16"/>
      <c r="Q19" s="16"/>
      <c r="R19" s="16"/>
      <c r="S19" s="16"/>
      <c r="T19" s="16"/>
      <c r="U19" s="16"/>
      <c r="V19" s="16"/>
      <c r="W19" s="16"/>
      <c r="X19" s="16"/>
      <c r="Y19" s="16"/>
      <c r="Z19" s="16"/>
      <c r="AA19" s="16"/>
      <c r="AB19" s="16"/>
      <c r="AC19" s="16"/>
      <c r="AD19" s="16"/>
      <c r="AE19" s="16"/>
      <c r="AF19" s="16"/>
    </row>
    <row r="20" spans="1:32">
      <c r="A20" s="16" t="s">
        <v>24</v>
      </c>
      <c r="B20" s="16" t="s">
        <v>174</v>
      </c>
      <c r="C20" s="16" t="s">
        <v>178</v>
      </c>
      <c r="D20" s="18">
        <v>180</v>
      </c>
      <c r="E20" s="16" t="s">
        <v>27</v>
      </c>
      <c r="F20" s="16"/>
      <c r="G20" s="16"/>
      <c r="H20" s="19">
        <v>45623</v>
      </c>
      <c r="I20" s="17" t="s">
        <v>30</v>
      </c>
      <c r="J20" s="16"/>
      <c r="K20" s="16"/>
      <c r="L20" s="16"/>
      <c r="M20" s="16"/>
      <c r="N20" s="16"/>
      <c r="O20" s="16"/>
      <c r="P20" s="16"/>
      <c r="Q20" s="16"/>
      <c r="R20" s="16"/>
      <c r="S20" s="16"/>
      <c r="T20" s="16"/>
      <c r="U20" s="16"/>
      <c r="V20" s="16"/>
      <c r="W20" s="16"/>
      <c r="X20" s="16"/>
      <c r="Y20" s="16"/>
      <c r="Z20" s="16"/>
      <c r="AA20" s="16"/>
      <c r="AB20" s="16"/>
      <c r="AC20" s="16"/>
      <c r="AD20" s="16"/>
      <c r="AE20" s="16"/>
      <c r="AF20" s="16"/>
    </row>
    <row r="21" spans="1:32">
      <c r="A21" s="16" t="s">
        <v>24</v>
      </c>
      <c r="B21" s="16" t="s">
        <v>193</v>
      </c>
      <c r="C21" s="16" t="s">
        <v>194</v>
      </c>
      <c r="D21" s="18">
        <v>199</v>
      </c>
      <c r="E21" s="16" t="s">
        <v>27</v>
      </c>
      <c r="F21" s="16"/>
      <c r="G21" s="16"/>
      <c r="H21" s="19">
        <v>45623</v>
      </c>
      <c r="I21" s="17" t="s">
        <v>30</v>
      </c>
      <c r="J21" s="16"/>
      <c r="K21" s="16"/>
      <c r="L21" s="16"/>
      <c r="M21" s="16"/>
      <c r="N21" s="16"/>
      <c r="O21" s="16"/>
      <c r="P21" s="16"/>
      <c r="Q21" s="16"/>
      <c r="R21" s="16"/>
      <c r="S21" s="16"/>
      <c r="T21" s="16"/>
      <c r="U21" s="16"/>
      <c r="V21" s="16"/>
      <c r="W21" s="16"/>
      <c r="X21" s="16"/>
      <c r="Y21" s="16"/>
      <c r="Z21" s="16"/>
      <c r="AA21" s="16"/>
      <c r="AB21" s="16"/>
      <c r="AC21" s="16"/>
      <c r="AD21" s="16"/>
      <c r="AE21" s="16"/>
      <c r="AF21" s="16"/>
    </row>
    <row r="22" spans="1:32">
      <c r="A22" s="16" t="s">
        <v>24</v>
      </c>
      <c r="B22" s="16" t="s">
        <v>193</v>
      </c>
      <c r="C22" s="16" t="s">
        <v>195</v>
      </c>
      <c r="D22" s="18">
        <v>206</v>
      </c>
      <c r="E22" s="16" t="s">
        <v>27</v>
      </c>
      <c r="F22" s="16"/>
      <c r="G22" s="16"/>
      <c r="H22" s="19">
        <v>45623</v>
      </c>
      <c r="I22" s="17" t="s">
        <v>30</v>
      </c>
      <c r="J22" s="16"/>
      <c r="K22" s="16"/>
      <c r="L22" s="16"/>
      <c r="M22" s="16"/>
      <c r="N22" s="16"/>
      <c r="O22" s="16"/>
      <c r="P22" s="16"/>
      <c r="Q22" s="16"/>
      <c r="R22" s="16"/>
      <c r="S22" s="16"/>
      <c r="T22" s="16"/>
      <c r="U22" s="16"/>
      <c r="V22" s="16"/>
      <c r="W22" s="16"/>
      <c r="X22" s="16"/>
      <c r="Y22" s="16"/>
      <c r="Z22" s="16"/>
      <c r="AA22" s="16"/>
      <c r="AB22" s="16"/>
      <c r="AC22" s="16"/>
      <c r="AD22" s="16"/>
      <c r="AE22" s="16"/>
      <c r="AF22" s="16"/>
    </row>
    <row r="23" spans="1:32">
      <c r="A23" s="16" t="s">
        <v>24</v>
      </c>
      <c r="B23" s="16" t="s">
        <v>201</v>
      </c>
      <c r="C23" s="16" t="s">
        <v>202</v>
      </c>
      <c r="D23" s="18">
        <v>609</v>
      </c>
      <c r="E23" s="16" t="s">
        <v>27</v>
      </c>
      <c r="F23" s="16"/>
      <c r="G23" s="16"/>
      <c r="H23" s="19">
        <v>45624</v>
      </c>
      <c r="I23" s="17" t="s">
        <v>30</v>
      </c>
      <c r="J23" s="16"/>
      <c r="K23" s="16"/>
      <c r="L23" s="16"/>
      <c r="M23" s="16"/>
      <c r="N23" s="16"/>
      <c r="O23" s="16"/>
      <c r="P23" s="16"/>
      <c r="Q23" s="16"/>
      <c r="R23" s="16"/>
      <c r="S23" s="16"/>
      <c r="T23" s="16"/>
      <c r="U23" s="16"/>
      <c r="V23" s="16"/>
      <c r="W23" s="16"/>
      <c r="X23" s="16"/>
      <c r="Y23" s="16"/>
      <c r="Z23" s="16"/>
      <c r="AA23" s="16"/>
      <c r="AB23" s="16"/>
      <c r="AC23" s="16"/>
      <c r="AD23" s="16"/>
      <c r="AE23" s="16"/>
      <c r="AF23" s="16"/>
    </row>
    <row r="24" spans="1:32">
      <c r="A24" s="16" t="s">
        <v>24</v>
      </c>
      <c r="B24" s="16" t="s">
        <v>201</v>
      </c>
      <c r="C24" s="16" t="s">
        <v>203</v>
      </c>
      <c r="D24" s="18">
        <v>598</v>
      </c>
      <c r="E24" s="16" t="s">
        <v>27</v>
      </c>
      <c r="F24" s="16"/>
      <c r="G24" s="16"/>
      <c r="H24" s="19">
        <v>45624</v>
      </c>
      <c r="I24" s="17" t="s">
        <v>30</v>
      </c>
      <c r="J24" s="16"/>
      <c r="K24" s="16"/>
      <c r="L24" s="16"/>
      <c r="M24" s="16"/>
      <c r="N24" s="16"/>
      <c r="O24" s="16"/>
      <c r="P24" s="16"/>
      <c r="Q24" s="16"/>
      <c r="R24" s="16"/>
      <c r="S24" s="16"/>
      <c r="T24" s="16"/>
      <c r="U24" s="16"/>
      <c r="V24" s="16"/>
      <c r="W24" s="16"/>
      <c r="X24" s="16"/>
      <c r="Y24" s="16"/>
      <c r="Z24" s="16"/>
      <c r="AA24" s="16"/>
      <c r="AB24" s="16"/>
      <c r="AC24" s="16"/>
      <c r="AD24" s="16"/>
      <c r="AE24" s="16"/>
      <c r="AF24" s="16"/>
    </row>
    <row r="25" spans="1:32">
      <c r="A25" s="16" t="s">
        <v>24</v>
      </c>
      <c r="B25" s="16" t="s">
        <v>207</v>
      </c>
      <c r="C25" s="16" t="s">
        <v>208</v>
      </c>
      <c r="D25" s="18">
        <v>106.9</v>
      </c>
      <c r="E25" s="16" t="s">
        <v>209</v>
      </c>
      <c r="F25" s="16"/>
      <c r="G25" s="16"/>
      <c r="H25" s="19">
        <v>45611</v>
      </c>
      <c r="I25" s="17" t="s">
        <v>30</v>
      </c>
      <c r="J25" s="55"/>
      <c r="K25" s="16"/>
      <c r="L25" s="16"/>
      <c r="M25" s="16"/>
      <c r="N25" s="16"/>
      <c r="O25" s="16"/>
      <c r="P25" s="16"/>
      <c r="Q25" s="16"/>
      <c r="R25" s="16"/>
      <c r="S25" s="16"/>
      <c r="T25" s="16"/>
      <c r="U25" s="16"/>
      <c r="V25" s="16"/>
      <c r="W25" s="16"/>
      <c r="X25" s="16"/>
      <c r="Y25" s="16"/>
      <c r="Z25" s="16"/>
      <c r="AA25" s="16"/>
      <c r="AB25" s="16"/>
      <c r="AC25" s="16"/>
      <c r="AD25" s="16"/>
      <c r="AE25" s="16"/>
      <c r="AF25" s="16"/>
    </row>
    <row r="26" spans="1:32">
      <c r="A26" s="16" t="s">
        <v>24</v>
      </c>
      <c r="B26" s="16" t="s">
        <v>210</v>
      </c>
      <c r="C26" s="16" t="s">
        <v>208</v>
      </c>
      <c r="D26" s="18">
        <v>104</v>
      </c>
      <c r="E26" s="16" t="s">
        <v>209</v>
      </c>
      <c r="F26" s="16"/>
      <c r="G26" s="16"/>
      <c r="H26" s="19">
        <v>45611</v>
      </c>
      <c r="I26" s="17" t="s">
        <v>30</v>
      </c>
      <c r="J26" s="55"/>
      <c r="K26" s="16"/>
      <c r="L26" s="16"/>
      <c r="M26" s="16"/>
      <c r="N26" s="16"/>
      <c r="O26" s="16"/>
      <c r="P26" s="16"/>
      <c r="Q26" s="16"/>
      <c r="R26" s="16"/>
      <c r="S26" s="16"/>
      <c r="T26" s="16"/>
      <c r="U26" s="16"/>
      <c r="V26" s="16"/>
      <c r="W26" s="16"/>
      <c r="X26" s="16"/>
      <c r="Y26" s="16"/>
      <c r="Z26" s="16"/>
      <c r="AA26" s="16"/>
      <c r="AB26" s="16"/>
      <c r="AC26" s="16"/>
      <c r="AD26" s="16"/>
      <c r="AE26" s="16"/>
      <c r="AF26" s="16"/>
    </row>
    <row r="27" spans="1:32">
      <c r="A27" s="16" t="s">
        <v>24</v>
      </c>
      <c r="B27" s="16" t="s">
        <v>211</v>
      </c>
      <c r="C27" s="16" t="s">
        <v>212</v>
      </c>
      <c r="D27" s="18">
        <v>71</v>
      </c>
      <c r="E27" s="16" t="s">
        <v>209</v>
      </c>
      <c r="F27" s="16"/>
      <c r="G27" s="16"/>
      <c r="H27" s="19">
        <v>45624</v>
      </c>
      <c r="I27" s="17" t="s">
        <v>30</v>
      </c>
      <c r="J27" s="16"/>
      <c r="K27" s="16"/>
      <c r="L27" s="16"/>
      <c r="M27" s="16"/>
      <c r="N27" s="16"/>
      <c r="O27" s="16"/>
      <c r="P27" s="16"/>
      <c r="Q27" s="16"/>
      <c r="R27" s="16"/>
      <c r="S27" s="16"/>
      <c r="T27" s="16"/>
      <c r="U27" s="16"/>
      <c r="V27" s="16"/>
      <c r="W27" s="16"/>
      <c r="X27" s="16"/>
      <c r="Y27" s="16"/>
      <c r="Z27" s="16"/>
      <c r="AA27" s="16"/>
      <c r="AB27" s="16"/>
      <c r="AC27" s="16"/>
      <c r="AD27" s="16"/>
      <c r="AE27" s="16"/>
      <c r="AF27" s="16"/>
    </row>
    <row r="28" spans="1:32">
      <c r="A28" s="16" t="s">
        <v>24</v>
      </c>
      <c r="B28" s="16" t="s">
        <v>213</v>
      </c>
      <c r="C28" s="16" t="s">
        <v>212</v>
      </c>
      <c r="D28" s="18">
        <v>61</v>
      </c>
      <c r="E28" s="16" t="s">
        <v>209</v>
      </c>
      <c r="F28" s="16"/>
      <c r="G28" s="16"/>
      <c r="H28" s="19">
        <v>45624</v>
      </c>
      <c r="I28" s="17" t="s">
        <v>30</v>
      </c>
      <c r="J28" s="16"/>
      <c r="K28" s="16"/>
      <c r="L28" s="16"/>
      <c r="M28" s="16"/>
      <c r="N28" s="16"/>
      <c r="O28" s="16"/>
      <c r="P28" s="16"/>
      <c r="Q28" s="16"/>
      <c r="R28" s="16"/>
      <c r="S28" s="16"/>
      <c r="T28" s="16"/>
      <c r="U28" s="16"/>
      <c r="V28" s="16"/>
      <c r="W28" s="16"/>
      <c r="X28" s="16"/>
      <c r="Y28" s="16"/>
      <c r="Z28" s="16"/>
      <c r="AA28" s="16"/>
      <c r="AB28" s="16"/>
      <c r="AC28" s="16"/>
      <c r="AD28" s="16"/>
      <c r="AE28" s="16"/>
      <c r="AF28" s="16"/>
    </row>
    <row r="29" spans="1:32">
      <c r="A29" s="16" t="s">
        <v>24</v>
      </c>
      <c r="B29" s="16" t="s">
        <v>214</v>
      </c>
      <c r="C29" s="16" t="s">
        <v>215</v>
      </c>
      <c r="D29" s="18" t="s">
        <v>216</v>
      </c>
      <c r="E29" s="16"/>
      <c r="F29" s="16"/>
      <c r="G29" s="16"/>
      <c r="H29" s="19">
        <v>45624</v>
      </c>
      <c r="I29" s="17" t="s">
        <v>30</v>
      </c>
      <c r="J29" s="16"/>
      <c r="K29" s="16"/>
      <c r="L29" s="16"/>
      <c r="M29" s="16"/>
      <c r="N29" s="16"/>
      <c r="O29" s="16"/>
      <c r="P29" s="16"/>
      <c r="Q29" s="16"/>
      <c r="R29" s="16"/>
      <c r="S29" s="16"/>
      <c r="T29" s="16"/>
      <c r="U29" s="16"/>
      <c r="V29" s="16"/>
      <c r="W29" s="16"/>
      <c r="X29" s="16"/>
      <c r="Y29" s="16"/>
      <c r="Z29" s="16"/>
      <c r="AA29" s="16"/>
      <c r="AB29" s="16"/>
      <c r="AC29" s="16"/>
      <c r="AD29" s="16"/>
      <c r="AE29" s="16"/>
      <c r="AF29" s="16"/>
    </row>
    <row r="30" spans="1:32">
      <c r="A30" s="16" t="s">
        <v>24</v>
      </c>
      <c r="B30" s="16" t="s">
        <v>230</v>
      </c>
      <c r="C30" s="16" t="s">
        <v>231</v>
      </c>
      <c r="D30" s="18">
        <v>104.7</v>
      </c>
      <c r="E30" s="16" t="s">
        <v>209</v>
      </c>
      <c r="F30" s="18">
        <v>114.5</v>
      </c>
      <c r="G30" s="16" t="s">
        <v>209</v>
      </c>
      <c r="H30" s="19">
        <v>45646</v>
      </c>
      <c r="I30" s="17" t="s">
        <v>30</v>
      </c>
      <c r="J30" s="16" t="s">
        <v>232</v>
      </c>
      <c r="K30" s="16"/>
      <c r="L30" s="16"/>
      <c r="M30" s="16"/>
      <c r="N30" s="16"/>
      <c r="O30" s="16"/>
      <c r="P30" s="16"/>
      <c r="Q30" s="16"/>
      <c r="R30" s="16"/>
      <c r="S30" s="16"/>
      <c r="T30" s="16"/>
      <c r="U30" s="16"/>
      <c r="V30" s="16"/>
      <c r="W30" s="16"/>
      <c r="X30" s="16"/>
      <c r="Y30" s="16"/>
      <c r="Z30" s="16"/>
      <c r="AA30" s="16"/>
      <c r="AB30" s="16"/>
      <c r="AC30" s="16"/>
      <c r="AD30" s="16"/>
      <c r="AE30" s="16"/>
      <c r="AF30" s="16"/>
    </row>
    <row r="31" spans="1:32">
      <c r="A31" s="16" t="s">
        <v>24</v>
      </c>
      <c r="B31" s="16" t="s">
        <v>242</v>
      </c>
      <c r="C31" s="16" t="s">
        <v>243</v>
      </c>
      <c r="D31" s="18">
        <v>166.3</v>
      </c>
      <c r="E31" s="16" t="s">
        <v>244</v>
      </c>
      <c r="F31" s="16"/>
      <c r="G31" s="16"/>
      <c r="H31" s="19">
        <v>45603</v>
      </c>
      <c r="I31" s="17" t="s">
        <v>30</v>
      </c>
      <c r="J31" s="16"/>
      <c r="K31" s="16"/>
      <c r="L31" s="16"/>
      <c r="M31" s="16"/>
      <c r="N31" s="16"/>
      <c r="O31" s="16"/>
      <c r="P31" s="16"/>
      <c r="Q31" s="16"/>
      <c r="R31" s="16"/>
      <c r="S31" s="16"/>
      <c r="T31" s="16"/>
      <c r="U31" s="16"/>
      <c r="V31" s="16"/>
      <c r="W31" s="16"/>
      <c r="X31" s="16"/>
      <c r="Y31" s="16"/>
      <c r="Z31" s="16"/>
      <c r="AA31" s="16"/>
      <c r="AB31" s="16"/>
      <c r="AC31" s="16"/>
      <c r="AD31" s="16"/>
      <c r="AE31" s="16"/>
      <c r="AF31" s="16"/>
    </row>
    <row r="32" spans="1:32">
      <c r="A32" s="16" t="s">
        <v>24</v>
      </c>
      <c r="B32" s="16" t="s">
        <v>245</v>
      </c>
      <c r="C32" s="16" t="s">
        <v>246</v>
      </c>
      <c r="D32" s="18">
        <v>56.32</v>
      </c>
      <c r="E32" s="16" t="s">
        <v>244</v>
      </c>
      <c r="F32" s="16"/>
      <c r="G32" s="16"/>
      <c r="H32" s="19">
        <v>45603</v>
      </c>
      <c r="I32" s="17" t="s">
        <v>30</v>
      </c>
      <c r="J32" s="16"/>
      <c r="K32" s="16"/>
      <c r="L32" s="16"/>
      <c r="M32" s="16"/>
      <c r="N32" s="16"/>
      <c r="O32" s="16"/>
      <c r="P32" s="16"/>
      <c r="Q32" s="16"/>
      <c r="R32" s="16"/>
      <c r="S32" s="16"/>
      <c r="T32" s="16"/>
      <c r="U32" s="16"/>
      <c r="V32" s="16"/>
      <c r="W32" s="16"/>
      <c r="X32" s="16"/>
      <c r="Y32" s="16"/>
      <c r="Z32" s="16"/>
      <c r="AA32" s="16"/>
      <c r="AB32" s="16"/>
      <c r="AC32" s="16"/>
      <c r="AD32" s="16"/>
      <c r="AE32" s="16"/>
      <c r="AF32" s="16"/>
    </row>
    <row r="33" spans="1:32">
      <c r="A33" s="16" t="s">
        <v>24</v>
      </c>
      <c r="B33" s="16" t="s">
        <v>245</v>
      </c>
      <c r="C33" s="16" t="s">
        <v>247</v>
      </c>
      <c r="D33" s="18">
        <v>56.11</v>
      </c>
      <c r="E33" s="16" t="s">
        <v>244</v>
      </c>
      <c r="F33" s="16"/>
      <c r="G33" s="16"/>
      <c r="H33" s="19">
        <v>45603</v>
      </c>
      <c r="I33" s="17" t="s">
        <v>30</v>
      </c>
      <c r="J33" s="16"/>
      <c r="K33" s="16"/>
      <c r="L33" s="16"/>
      <c r="M33" s="16"/>
      <c r="N33" s="16"/>
      <c r="O33" s="16"/>
      <c r="P33" s="16"/>
      <c r="Q33" s="16"/>
      <c r="R33" s="16"/>
      <c r="S33" s="16"/>
      <c r="T33" s="16"/>
      <c r="U33" s="16"/>
      <c r="V33" s="16"/>
      <c r="W33" s="16"/>
      <c r="X33" s="16"/>
      <c r="Y33" s="16"/>
      <c r="Z33" s="16"/>
      <c r="AA33" s="16"/>
      <c r="AB33" s="16"/>
      <c r="AC33" s="16"/>
      <c r="AD33" s="16"/>
      <c r="AE33" s="16"/>
      <c r="AF33" s="16"/>
    </row>
    <row r="34" spans="1:32">
      <c r="A34" s="16" t="s">
        <v>24</v>
      </c>
      <c r="B34" s="16" t="s">
        <v>249</v>
      </c>
      <c r="C34" s="16" t="s">
        <v>250</v>
      </c>
      <c r="D34" s="18">
        <v>1.0569999999999999</v>
      </c>
      <c r="E34" s="16" t="s">
        <v>244</v>
      </c>
      <c r="F34" s="16"/>
      <c r="G34" s="16"/>
      <c r="H34" s="19">
        <v>45603</v>
      </c>
      <c r="I34" s="17" t="s">
        <v>30</v>
      </c>
      <c r="J34" s="16"/>
      <c r="K34" s="16"/>
      <c r="L34" s="16"/>
      <c r="M34" s="16"/>
      <c r="N34" s="16"/>
      <c r="O34" s="16"/>
      <c r="P34" s="16"/>
      <c r="Q34" s="16"/>
      <c r="R34" s="16"/>
      <c r="S34" s="16"/>
      <c r="T34" s="16"/>
      <c r="U34" s="16"/>
      <c r="V34" s="16"/>
      <c r="W34" s="16"/>
      <c r="X34" s="16"/>
      <c r="Y34" s="16"/>
      <c r="Z34" s="16"/>
      <c r="AA34" s="16"/>
      <c r="AB34" s="16"/>
      <c r="AC34" s="16"/>
      <c r="AD34" s="16"/>
      <c r="AE34" s="16"/>
      <c r="AF34" s="16"/>
    </row>
    <row r="35" spans="1:32">
      <c r="A35" s="16" t="s">
        <v>24</v>
      </c>
      <c r="B35" s="16" t="s">
        <v>251</v>
      </c>
      <c r="C35" s="16" t="s">
        <v>250</v>
      </c>
      <c r="D35" s="18">
        <v>1.014</v>
      </c>
      <c r="E35" s="16" t="s">
        <v>244</v>
      </c>
      <c r="F35" s="16"/>
      <c r="G35" s="16"/>
      <c r="H35" s="19">
        <v>45603</v>
      </c>
      <c r="I35" s="17" t="s">
        <v>30</v>
      </c>
      <c r="J35" s="16"/>
      <c r="K35" s="16"/>
      <c r="L35" s="16"/>
      <c r="M35" s="16"/>
      <c r="N35" s="16"/>
      <c r="O35" s="16"/>
      <c r="P35" s="16"/>
      <c r="Q35" s="16"/>
      <c r="R35" s="16"/>
      <c r="S35" s="16"/>
      <c r="T35" s="16"/>
      <c r="U35" s="16"/>
      <c r="V35" s="16"/>
      <c r="W35" s="16"/>
      <c r="X35" s="16"/>
      <c r="Y35" s="16"/>
      <c r="Z35" s="16"/>
      <c r="AA35" s="16"/>
      <c r="AB35" s="16"/>
      <c r="AC35" s="16"/>
      <c r="AD35" s="16"/>
      <c r="AE35" s="16"/>
      <c r="AF35" s="16"/>
    </row>
    <row r="36" spans="1:32">
      <c r="A36" s="16" t="s">
        <v>24</v>
      </c>
      <c r="B36" s="16" t="s">
        <v>252</v>
      </c>
      <c r="C36" s="16" t="s">
        <v>250</v>
      </c>
      <c r="D36" s="18">
        <v>0.35570000000000002</v>
      </c>
      <c r="E36" s="16" t="s">
        <v>244</v>
      </c>
      <c r="F36" s="16"/>
      <c r="G36" s="16"/>
      <c r="H36" s="19">
        <v>45603</v>
      </c>
      <c r="I36" s="17" t="s">
        <v>30</v>
      </c>
      <c r="J36" s="16"/>
      <c r="K36" s="16"/>
      <c r="L36" s="16"/>
      <c r="M36" s="16"/>
      <c r="N36" s="16"/>
      <c r="O36" s="16"/>
      <c r="P36" s="16"/>
      <c r="Q36" s="16"/>
      <c r="R36" s="16"/>
      <c r="S36" s="16"/>
      <c r="T36" s="16"/>
      <c r="U36" s="16"/>
      <c r="V36" s="16"/>
      <c r="W36" s="16"/>
      <c r="X36" s="16"/>
      <c r="Y36" s="16"/>
      <c r="Z36" s="16"/>
      <c r="AA36" s="16"/>
      <c r="AB36" s="16"/>
      <c r="AC36" s="16"/>
      <c r="AD36" s="16"/>
      <c r="AE36" s="16"/>
      <c r="AF36" s="16"/>
    </row>
    <row r="37" spans="1:32">
      <c r="A37" s="16" t="s">
        <v>24</v>
      </c>
      <c r="B37" s="16" t="s">
        <v>253</v>
      </c>
      <c r="C37" s="16" t="s">
        <v>250</v>
      </c>
      <c r="D37" s="18">
        <v>0.34960000000000002</v>
      </c>
      <c r="E37" s="16" t="s">
        <v>244</v>
      </c>
      <c r="F37" s="16"/>
      <c r="G37" s="16"/>
      <c r="H37" s="19">
        <v>45603</v>
      </c>
      <c r="I37" s="17" t="s">
        <v>30</v>
      </c>
      <c r="J37" s="16"/>
      <c r="K37" s="16"/>
      <c r="L37" s="16"/>
      <c r="M37" s="16"/>
      <c r="N37" s="16"/>
      <c r="O37" s="16"/>
      <c r="P37" s="16"/>
      <c r="Q37" s="16"/>
      <c r="R37" s="16"/>
      <c r="S37" s="16"/>
      <c r="T37" s="16"/>
      <c r="U37" s="16"/>
      <c r="V37" s="16"/>
      <c r="W37" s="16"/>
      <c r="X37" s="16"/>
      <c r="Y37" s="16"/>
      <c r="Z37" s="16"/>
      <c r="AA37" s="16"/>
      <c r="AB37" s="16"/>
      <c r="AC37" s="16"/>
      <c r="AD37" s="16"/>
      <c r="AE37" s="16"/>
      <c r="AF37" s="16"/>
    </row>
    <row r="38" spans="1:32">
      <c r="A38" s="16" t="s">
        <v>24</v>
      </c>
      <c r="B38" s="16" t="s">
        <v>304</v>
      </c>
      <c r="C38" s="16" t="s">
        <v>310</v>
      </c>
      <c r="D38" s="30">
        <v>3000</v>
      </c>
      <c r="E38" s="3" t="s">
        <v>306</v>
      </c>
      <c r="F38" s="3"/>
      <c r="G38" s="3"/>
      <c r="H38" s="15">
        <v>45602</v>
      </c>
      <c r="I38" s="3" t="s">
        <v>30</v>
      </c>
      <c r="J38" s="16"/>
      <c r="K38" s="16"/>
      <c r="L38" s="16"/>
      <c r="M38" s="16"/>
      <c r="N38" s="16"/>
      <c r="O38" s="16"/>
      <c r="P38" s="16"/>
      <c r="Q38" s="16"/>
      <c r="R38" s="16"/>
      <c r="S38" s="16"/>
      <c r="T38" s="16"/>
      <c r="U38" s="16"/>
      <c r="V38" s="16"/>
      <c r="W38" s="16"/>
      <c r="X38" s="16"/>
      <c r="Y38" s="16"/>
      <c r="Z38" s="16"/>
      <c r="AA38" s="16"/>
      <c r="AB38" s="16"/>
      <c r="AC38" s="16"/>
      <c r="AD38" s="16"/>
      <c r="AE38" s="16"/>
      <c r="AF38" s="16"/>
    </row>
    <row r="39" spans="1:32">
      <c r="D39" s="12"/>
      <c r="H39" s="15"/>
      <c r="I39" s="25"/>
    </row>
    <row r="40" spans="1:32">
      <c r="D40" s="12"/>
      <c r="H40" s="15"/>
      <c r="I40" s="25"/>
    </row>
    <row r="41" spans="1:32">
      <c r="D41" s="12"/>
      <c r="H41" s="15"/>
      <c r="I41" s="25"/>
    </row>
    <row r="42" spans="1:32">
      <c r="D42" s="12"/>
      <c r="H42" s="15"/>
      <c r="I42" s="25"/>
    </row>
    <row r="43" spans="1:32">
      <c r="D43" s="12"/>
      <c r="H43" s="15"/>
      <c r="I43" s="25"/>
    </row>
    <row r="44" spans="1:32">
      <c r="D44" s="12"/>
      <c r="H44" s="15"/>
      <c r="I44" s="25"/>
    </row>
    <row r="45" spans="1:32">
      <c r="D45" s="12"/>
      <c r="H45" s="15"/>
      <c r="I45" s="25"/>
    </row>
    <row r="46" spans="1:32">
      <c r="D46" s="12"/>
      <c r="H46" s="15"/>
      <c r="I46" s="25"/>
    </row>
    <row r="47" spans="1:32">
      <c r="D47" s="12"/>
      <c r="H47" s="15"/>
      <c r="I47" s="25"/>
    </row>
    <row r="48" spans="1:32">
      <c r="D48" s="12"/>
      <c r="H48" s="15"/>
      <c r="I48" s="25"/>
    </row>
    <row r="49" spans="4:9">
      <c r="D49" s="12"/>
      <c r="H49" s="15"/>
      <c r="I49" s="25"/>
    </row>
    <row r="50" spans="4:9">
      <c r="D50" s="12"/>
      <c r="H50" s="15"/>
      <c r="I50" s="25"/>
    </row>
    <row r="51" spans="4:9">
      <c r="D51" s="12"/>
      <c r="H51" s="15"/>
      <c r="I51" s="25"/>
    </row>
    <row r="52" spans="4:9">
      <c r="D52" s="12"/>
      <c r="H52" s="15"/>
      <c r="I52" s="25"/>
    </row>
    <row r="53" spans="4:9">
      <c r="D53" s="12"/>
      <c r="H53" s="15"/>
      <c r="I53" s="25"/>
    </row>
    <row r="54" spans="4:9">
      <c r="D54" s="12"/>
      <c r="H54" s="15"/>
      <c r="I54" s="25"/>
    </row>
    <row r="55" spans="4:9">
      <c r="D55" s="12"/>
      <c r="H55" s="15"/>
      <c r="I55" s="25"/>
    </row>
    <row r="56" spans="4:9">
      <c r="D56" s="12"/>
      <c r="H56" s="15"/>
      <c r="I56" s="25"/>
    </row>
    <row r="57" spans="4:9">
      <c r="D57" s="12"/>
      <c r="H57" s="15"/>
      <c r="I57" s="25"/>
    </row>
    <row r="58" spans="4:9">
      <c r="D58" s="12"/>
      <c r="H58" s="15"/>
      <c r="I58" s="25"/>
    </row>
    <row r="59" spans="4:9">
      <c r="D59" s="12"/>
      <c r="H59" s="15"/>
      <c r="I59" s="25"/>
    </row>
    <row r="60" spans="4:9">
      <c r="D60" s="12"/>
      <c r="H60" s="15"/>
      <c r="I60" s="25"/>
    </row>
    <row r="61" spans="4:9">
      <c r="D61" s="12"/>
      <c r="H61" s="15"/>
      <c r="I61" s="25"/>
    </row>
    <row r="62" spans="4:9">
      <c r="D62" s="12"/>
      <c r="H62" s="15"/>
      <c r="I62" s="25"/>
    </row>
    <row r="63" spans="4:9">
      <c r="D63" s="12"/>
      <c r="H63" s="15"/>
      <c r="I63" s="25"/>
    </row>
    <row r="64" spans="4:9">
      <c r="D64" s="12"/>
      <c r="H64" s="15"/>
      <c r="I64" s="25"/>
    </row>
    <row r="65" spans="4:9">
      <c r="D65" s="12"/>
      <c r="H65" s="15"/>
      <c r="I65" s="25"/>
    </row>
    <row r="66" spans="4:9">
      <c r="D66" s="12"/>
      <c r="H66" s="15"/>
      <c r="I66" s="25"/>
    </row>
    <row r="67" spans="4:9">
      <c r="D67" s="12"/>
      <c r="H67" s="15"/>
      <c r="I67" s="25"/>
    </row>
    <row r="68" spans="4:9">
      <c r="D68" s="12"/>
      <c r="H68" s="15"/>
      <c r="I68" s="25"/>
    </row>
    <row r="69" spans="4:9">
      <c r="D69" s="12"/>
      <c r="H69" s="15"/>
      <c r="I69" s="25"/>
    </row>
    <row r="70" spans="4:9">
      <c r="D70" s="12"/>
      <c r="H70" s="15"/>
      <c r="I70" s="25"/>
    </row>
    <row r="71" spans="4:9">
      <c r="D71" s="12"/>
      <c r="H71" s="15"/>
      <c r="I71" s="25"/>
    </row>
    <row r="72" spans="4:9">
      <c r="D72" s="12"/>
      <c r="H72" s="15"/>
      <c r="I72" s="25"/>
    </row>
    <row r="73" spans="4:9">
      <c r="D73" s="12"/>
      <c r="H73" s="15"/>
      <c r="I73" s="25"/>
    </row>
    <row r="74" spans="4:9">
      <c r="D74" s="12"/>
      <c r="H74" s="15"/>
      <c r="I74" s="25"/>
    </row>
    <row r="75" spans="4:9">
      <c r="D75" s="12"/>
      <c r="H75" s="15"/>
      <c r="I75" s="25"/>
    </row>
    <row r="76" spans="4:9">
      <c r="D76" s="12"/>
      <c r="H76" s="15"/>
      <c r="I76" s="25"/>
    </row>
    <row r="77" spans="4:9">
      <c r="D77" s="12"/>
      <c r="H77" s="15"/>
      <c r="I77" s="25"/>
    </row>
    <row r="78" spans="4:9">
      <c r="D78" s="12"/>
      <c r="H78" s="15"/>
      <c r="I78" s="25"/>
    </row>
    <row r="79" spans="4:9">
      <c r="D79" s="12"/>
      <c r="H79" s="15"/>
      <c r="I79" s="25"/>
    </row>
    <row r="80" spans="4:9">
      <c r="D80" s="12"/>
      <c r="H80" s="15"/>
      <c r="I80" s="25"/>
    </row>
    <row r="81" spans="4:9">
      <c r="D81" s="12"/>
      <c r="H81" s="15"/>
      <c r="I81" s="25"/>
    </row>
    <row r="82" spans="4:9">
      <c r="D82" s="12"/>
      <c r="H82" s="15"/>
      <c r="I82" s="25"/>
    </row>
    <row r="83" spans="4:9">
      <c r="D83" s="12"/>
      <c r="H83" s="15"/>
      <c r="I83" s="25"/>
    </row>
    <row r="84" spans="4:9">
      <c r="D84" s="12"/>
      <c r="H84" s="15"/>
      <c r="I84" s="25"/>
    </row>
    <row r="85" spans="4:9">
      <c r="D85" s="12"/>
      <c r="H85" s="15"/>
      <c r="I85" s="25"/>
    </row>
    <row r="86" spans="4:9">
      <c r="D86" s="12"/>
      <c r="H86" s="15"/>
      <c r="I86" s="25"/>
    </row>
    <row r="87" spans="4:9">
      <c r="D87" s="12"/>
      <c r="H87" s="15"/>
      <c r="I87" s="25"/>
    </row>
    <row r="88" spans="4:9">
      <c r="D88" s="12"/>
      <c r="H88" s="15"/>
      <c r="I88" s="25"/>
    </row>
    <row r="89" spans="4:9">
      <c r="D89" s="12"/>
      <c r="H89" s="15"/>
      <c r="I89" s="25"/>
    </row>
    <row r="90" spans="4:9">
      <c r="D90" s="12"/>
      <c r="H90" s="15"/>
      <c r="I90" s="25"/>
    </row>
    <row r="91" spans="4:9">
      <c r="D91" s="12"/>
      <c r="H91" s="15"/>
      <c r="I91" s="25"/>
    </row>
    <row r="92" spans="4:9">
      <c r="D92" s="12"/>
      <c r="H92" s="15"/>
      <c r="I92" s="25"/>
    </row>
    <row r="93" spans="4:9">
      <c r="D93" s="12"/>
      <c r="H93" s="15"/>
      <c r="I93" s="25"/>
    </row>
    <row r="94" spans="4:9">
      <c r="D94" s="12"/>
      <c r="H94" s="15"/>
      <c r="I94" s="25"/>
    </row>
    <row r="95" spans="4:9">
      <c r="D95" s="12"/>
      <c r="H95" s="15"/>
      <c r="I95" s="25"/>
    </row>
    <row r="96" spans="4:9">
      <c r="D96" s="12"/>
      <c r="H96" s="15"/>
      <c r="I96" s="25"/>
    </row>
    <row r="97" spans="4:9">
      <c r="D97" s="12"/>
      <c r="H97" s="15"/>
      <c r="I97" s="25"/>
    </row>
    <row r="98" spans="4:9">
      <c r="D98" s="12"/>
      <c r="H98" s="15"/>
      <c r="I98" s="25"/>
    </row>
    <row r="99" spans="4:9">
      <c r="D99" s="12"/>
      <c r="H99" s="15"/>
      <c r="I99" s="25"/>
    </row>
    <row r="100" spans="4:9">
      <c r="D100" s="12"/>
      <c r="H100" s="15"/>
      <c r="I100" s="25"/>
    </row>
    <row r="101" spans="4:9">
      <c r="D101" s="12"/>
      <c r="H101" s="15"/>
      <c r="I101" s="25"/>
    </row>
    <row r="102" spans="4:9">
      <c r="D102" s="12"/>
      <c r="H102" s="15"/>
      <c r="I102" s="25"/>
    </row>
    <row r="103" spans="4:9">
      <c r="D103" s="12"/>
      <c r="H103" s="15"/>
      <c r="I103" s="25"/>
    </row>
    <row r="104" spans="4:9">
      <c r="D104" s="12"/>
      <c r="H104" s="15"/>
      <c r="I104" s="25"/>
    </row>
    <row r="105" spans="4:9">
      <c r="D105" s="12"/>
      <c r="H105" s="15"/>
      <c r="I105" s="25"/>
    </row>
    <row r="106" spans="4:9">
      <c r="D106" s="12"/>
      <c r="H106" s="15"/>
      <c r="I106" s="25"/>
    </row>
    <row r="107" spans="4:9">
      <c r="D107" s="12"/>
      <c r="H107" s="15"/>
      <c r="I107" s="25"/>
    </row>
    <row r="108" spans="4:9">
      <c r="D108" s="12"/>
      <c r="H108" s="15"/>
      <c r="I108" s="25"/>
    </row>
    <row r="109" spans="4:9">
      <c r="D109" s="12"/>
      <c r="H109" s="15"/>
      <c r="I109" s="25"/>
    </row>
    <row r="110" spans="4:9">
      <c r="D110" s="12"/>
      <c r="H110" s="15"/>
      <c r="I110" s="25"/>
    </row>
    <row r="111" spans="4:9">
      <c r="D111" s="12"/>
      <c r="H111" s="15"/>
      <c r="I111" s="25"/>
    </row>
    <row r="112" spans="4:9">
      <c r="D112" s="12"/>
      <c r="H112" s="15"/>
      <c r="I112" s="25"/>
    </row>
    <row r="113" spans="4:9">
      <c r="D113" s="12"/>
      <c r="H113" s="15"/>
      <c r="I113" s="25"/>
    </row>
    <row r="114" spans="4:9">
      <c r="D114" s="12"/>
      <c r="H114" s="15"/>
      <c r="I114" s="25"/>
    </row>
    <row r="115" spans="4:9">
      <c r="D115" s="12"/>
      <c r="H115" s="15"/>
      <c r="I115" s="25"/>
    </row>
    <row r="116" spans="4:9">
      <c r="D116" s="12"/>
      <c r="H116" s="15"/>
      <c r="I116" s="25"/>
    </row>
    <row r="117" spans="4:9">
      <c r="D117" s="12"/>
      <c r="H117" s="15"/>
      <c r="I117" s="25"/>
    </row>
    <row r="118" spans="4:9">
      <c r="D118" s="12"/>
      <c r="H118" s="15"/>
      <c r="I118" s="25"/>
    </row>
    <row r="119" spans="4:9">
      <c r="D119" s="12"/>
      <c r="H119" s="15"/>
      <c r="I119" s="25"/>
    </row>
    <row r="120" spans="4:9">
      <c r="D120" s="12"/>
      <c r="H120" s="15"/>
      <c r="I120" s="25"/>
    </row>
    <row r="121" spans="4:9">
      <c r="D121" s="12"/>
      <c r="H121" s="15"/>
      <c r="I121" s="25"/>
    </row>
    <row r="122" spans="4:9">
      <c r="D122" s="12"/>
      <c r="H122" s="15"/>
      <c r="I122" s="25"/>
    </row>
    <row r="123" spans="4:9">
      <c r="D123" s="12"/>
      <c r="H123" s="15"/>
      <c r="I123" s="25"/>
    </row>
    <row r="124" spans="4:9">
      <c r="D124" s="12"/>
      <c r="H124" s="15"/>
      <c r="I124" s="25"/>
    </row>
    <row r="125" spans="4:9">
      <c r="D125" s="12"/>
      <c r="H125" s="15"/>
      <c r="I125" s="25"/>
    </row>
    <row r="126" spans="4:9">
      <c r="D126" s="12"/>
      <c r="H126" s="15"/>
      <c r="I126" s="25"/>
    </row>
    <row r="127" spans="4:9">
      <c r="D127" s="12"/>
      <c r="H127" s="15"/>
      <c r="I127" s="25"/>
    </row>
    <row r="128" spans="4:9">
      <c r="D128" s="12"/>
      <c r="H128" s="15"/>
      <c r="I128" s="25"/>
    </row>
    <row r="129" spans="4:9">
      <c r="D129" s="12"/>
      <c r="H129" s="15"/>
      <c r="I129" s="25"/>
    </row>
    <row r="130" spans="4:9">
      <c r="D130" s="12"/>
      <c r="H130" s="15"/>
      <c r="I130" s="25"/>
    </row>
    <row r="131" spans="4:9">
      <c r="D131" s="12"/>
      <c r="H131" s="15"/>
      <c r="I131" s="25"/>
    </row>
    <row r="132" spans="4:9">
      <c r="D132" s="12"/>
      <c r="H132" s="15"/>
      <c r="I132" s="25"/>
    </row>
    <row r="133" spans="4:9">
      <c r="D133" s="12"/>
      <c r="H133" s="15"/>
      <c r="I133" s="25"/>
    </row>
    <row r="134" spans="4:9">
      <c r="D134" s="12"/>
      <c r="H134" s="15"/>
      <c r="I134" s="25"/>
    </row>
    <row r="135" spans="4:9">
      <c r="D135" s="12"/>
      <c r="H135" s="15"/>
      <c r="I135" s="25"/>
    </row>
    <row r="136" spans="4:9">
      <c r="D136" s="12"/>
      <c r="H136" s="15"/>
      <c r="I136" s="25"/>
    </row>
    <row r="137" spans="4:9">
      <c r="D137" s="12"/>
      <c r="H137" s="15"/>
      <c r="I137" s="25"/>
    </row>
    <row r="138" spans="4:9">
      <c r="D138" s="12"/>
      <c r="H138" s="15"/>
      <c r="I138" s="25"/>
    </row>
    <row r="139" spans="4:9">
      <c r="D139" s="12"/>
      <c r="H139" s="15"/>
      <c r="I139" s="25"/>
    </row>
    <row r="140" spans="4:9">
      <c r="D140" s="12"/>
      <c r="H140" s="15"/>
      <c r="I140" s="25"/>
    </row>
    <row r="141" spans="4:9">
      <c r="D141" s="12"/>
      <c r="H141" s="15"/>
      <c r="I141" s="25"/>
    </row>
    <row r="142" spans="4:9">
      <c r="D142" s="12"/>
      <c r="H142" s="15"/>
      <c r="I142" s="25"/>
    </row>
    <row r="143" spans="4:9">
      <c r="D143" s="12"/>
      <c r="H143" s="15"/>
      <c r="I143" s="25"/>
    </row>
    <row r="144" spans="4:9">
      <c r="D144" s="12"/>
      <c r="H144" s="15"/>
      <c r="I144" s="25"/>
    </row>
    <row r="145" spans="4:9">
      <c r="D145" s="12"/>
      <c r="H145" s="15"/>
      <c r="I145" s="25"/>
    </row>
    <row r="146" spans="4:9">
      <c r="D146" s="12"/>
      <c r="H146" s="15"/>
      <c r="I146" s="25"/>
    </row>
    <row r="147" spans="4:9">
      <c r="D147" s="12"/>
      <c r="H147" s="15"/>
      <c r="I147" s="25"/>
    </row>
    <row r="148" spans="4:9">
      <c r="D148" s="12"/>
      <c r="H148" s="15"/>
      <c r="I148" s="25"/>
    </row>
    <row r="149" spans="4:9">
      <c r="D149" s="12"/>
      <c r="H149" s="15"/>
      <c r="I149" s="25"/>
    </row>
    <row r="150" spans="4:9">
      <c r="D150" s="12"/>
      <c r="H150" s="15"/>
      <c r="I150" s="25"/>
    </row>
    <row r="151" spans="4:9">
      <c r="D151" s="12"/>
      <c r="H151" s="15"/>
      <c r="I151" s="25"/>
    </row>
    <row r="152" spans="4:9">
      <c r="D152" s="12"/>
      <c r="H152" s="15"/>
      <c r="I152" s="25"/>
    </row>
    <row r="153" spans="4:9">
      <c r="D153" s="12"/>
      <c r="H153" s="15"/>
      <c r="I153" s="25"/>
    </row>
    <row r="154" spans="4:9">
      <c r="D154" s="12"/>
      <c r="H154" s="15"/>
      <c r="I154" s="25"/>
    </row>
    <row r="155" spans="4:9">
      <c r="D155" s="12"/>
      <c r="H155" s="15"/>
      <c r="I155" s="25"/>
    </row>
    <row r="156" spans="4:9">
      <c r="D156" s="12"/>
      <c r="H156" s="15"/>
      <c r="I156" s="25"/>
    </row>
    <row r="157" spans="4:9">
      <c r="D157" s="12"/>
      <c r="H157" s="15"/>
      <c r="I157" s="25"/>
    </row>
    <row r="158" spans="4:9">
      <c r="D158" s="12"/>
      <c r="H158" s="15"/>
      <c r="I158" s="25"/>
    </row>
    <row r="159" spans="4:9">
      <c r="D159" s="12"/>
      <c r="H159" s="15"/>
      <c r="I159" s="25"/>
    </row>
    <row r="160" spans="4:9">
      <c r="D160" s="12"/>
      <c r="H160" s="15"/>
      <c r="I160" s="25"/>
    </row>
    <row r="161" spans="4:9">
      <c r="D161" s="12"/>
      <c r="H161" s="15"/>
      <c r="I161" s="25"/>
    </row>
    <row r="162" spans="4:9">
      <c r="D162" s="12"/>
      <c r="H162" s="15"/>
      <c r="I162" s="25"/>
    </row>
    <row r="163" spans="4:9">
      <c r="D163" s="12"/>
      <c r="H163" s="15"/>
      <c r="I163" s="25"/>
    </row>
    <row r="164" spans="4:9">
      <c r="D164" s="12"/>
      <c r="H164" s="15"/>
      <c r="I164" s="25"/>
    </row>
    <row r="165" spans="4:9">
      <c r="D165" s="12"/>
      <c r="H165" s="15"/>
      <c r="I165" s="25"/>
    </row>
    <row r="166" spans="4:9">
      <c r="D166" s="12"/>
      <c r="H166" s="15"/>
      <c r="I166" s="25"/>
    </row>
    <row r="167" spans="4:9">
      <c r="D167" s="12"/>
      <c r="H167" s="15"/>
      <c r="I167" s="25"/>
    </row>
    <row r="168" spans="4:9">
      <c r="D168" s="12"/>
      <c r="H168" s="15"/>
      <c r="I168" s="25"/>
    </row>
    <row r="169" spans="4:9">
      <c r="D169" s="12"/>
      <c r="H169" s="15"/>
      <c r="I169" s="25"/>
    </row>
    <row r="170" spans="4:9">
      <c r="D170" s="12"/>
      <c r="H170" s="15"/>
      <c r="I170" s="25"/>
    </row>
    <row r="171" spans="4:9">
      <c r="D171" s="12"/>
      <c r="H171" s="15"/>
      <c r="I171" s="25"/>
    </row>
    <row r="172" spans="4:9">
      <c r="D172" s="12"/>
      <c r="H172" s="15"/>
      <c r="I172" s="25"/>
    </row>
    <row r="173" spans="4:9">
      <c r="D173" s="12"/>
      <c r="H173" s="15"/>
      <c r="I173" s="25"/>
    </row>
    <row r="174" spans="4:9">
      <c r="D174" s="12"/>
      <c r="H174" s="15"/>
      <c r="I174" s="25"/>
    </row>
    <row r="175" spans="4:9">
      <c r="D175" s="12"/>
      <c r="H175" s="15"/>
      <c r="I175" s="25"/>
    </row>
    <row r="176" spans="4:9">
      <c r="D176" s="12"/>
      <c r="H176" s="15"/>
      <c r="I176" s="25"/>
    </row>
    <row r="177" spans="4:9">
      <c r="D177" s="12"/>
      <c r="H177" s="15"/>
      <c r="I177" s="25"/>
    </row>
    <row r="178" spans="4:9">
      <c r="D178" s="12"/>
      <c r="H178" s="15"/>
      <c r="I178" s="25"/>
    </row>
    <row r="179" spans="4:9">
      <c r="D179" s="12"/>
      <c r="H179" s="15"/>
      <c r="I179" s="25"/>
    </row>
    <row r="180" spans="4:9">
      <c r="D180" s="12"/>
      <c r="H180" s="15"/>
      <c r="I180" s="25"/>
    </row>
    <row r="181" spans="4:9">
      <c r="D181" s="12"/>
      <c r="H181" s="15"/>
      <c r="I181" s="25"/>
    </row>
    <row r="182" spans="4:9">
      <c r="D182" s="12"/>
      <c r="H182" s="15"/>
      <c r="I182" s="25"/>
    </row>
    <row r="183" spans="4:9">
      <c r="D183" s="12"/>
      <c r="H183" s="15"/>
      <c r="I183" s="25"/>
    </row>
    <row r="184" spans="4:9">
      <c r="D184" s="12"/>
      <c r="H184" s="15"/>
      <c r="I184" s="25"/>
    </row>
    <row r="185" spans="4:9">
      <c r="D185" s="12"/>
      <c r="H185" s="15"/>
      <c r="I185" s="25"/>
    </row>
    <row r="186" spans="4:9">
      <c r="D186" s="12"/>
      <c r="H186" s="15"/>
      <c r="I186" s="25"/>
    </row>
    <row r="187" spans="4:9">
      <c r="D187" s="12"/>
      <c r="H187" s="15"/>
      <c r="I187" s="25"/>
    </row>
    <row r="188" spans="4:9">
      <c r="D188" s="12"/>
      <c r="H188" s="15"/>
      <c r="I188" s="25"/>
    </row>
    <row r="189" spans="4:9">
      <c r="D189" s="12"/>
      <c r="H189" s="15"/>
      <c r="I189" s="25"/>
    </row>
    <row r="190" spans="4:9">
      <c r="D190" s="12"/>
      <c r="H190" s="15"/>
      <c r="I190" s="25"/>
    </row>
    <row r="191" spans="4:9">
      <c r="D191" s="12"/>
      <c r="H191" s="15"/>
      <c r="I191" s="25"/>
    </row>
    <row r="192" spans="4:9">
      <c r="D192" s="12"/>
      <c r="H192" s="15"/>
      <c r="I192" s="25"/>
    </row>
    <row r="193" spans="4:9">
      <c r="D193" s="12"/>
      <c r="H193" s="15"/>
      <c r="I193" s="25"/>
    </row>
    <row r="194" spans="4:9">
      <c r="D194" s="12"/>
      <c r="H194" s="15"/>
      <c r="I194" s="25"/>
    </row>
    <row r="195" spans="4:9">
      <c r="D195" s="12"/>
      <c r="H195" s="15"/>
      <c r="I195" s="25"/>
    </row>
    <row r="196" spans="4:9">
      <c r="D196" s="12"/>
      <c r="H196" s="15"/>
      <c r="I196" s="25"/>
    </row>
    <row r="197" spans="4:9">
      <c r="D197" s="12"/>
      <c r="H197" s="15"/>
      <c r="I197" s="25"/>
    </row>
    <row r="198" spans="4:9">
      <c r="D198" s="12"/>
      <c r="H198" s="15"/>
      <c r="I198" s="25"/>
    </row>
    <row r="199" spans="4:9">
      <c r="D199" s="12"/>
      <c r="H199" s="15"/>
      <c r="I199" s="25"/>
    </row>
    <row r="200" spans="4:9">
      <c r="D200" s="12"/>
      <c r="H200" s="15"/>
      <c r="I200" s="25"/>
    </row>
    <row r="201" spans="4:9">
      <c r="D201" s="12"/>
      <c r="H201" s="15"/>
      <c r="I201" s="25"/>
    </row>
    <row r="202" spans="4:9">
      <c r="D202" s="12"/>
      <c r="H202" s="15"/>
      <c r="I202" s="25"/>
    </row>
    <row r="203" spans="4:9">
      <c r="D203" s="12"/>
      <c r="H203" s="15"/>
      <c r="I203" s="25"/>
    </row>
    <row r="204" spans="4:9">
      <c r="D204" s="12"/>
      <c r="H204" s="15"/>
      <c r="I204" s="25"/>
    </row>
    <row r="205" spans="4:9">
      <c r="D205" s="12"/>
      <c r="H205" s="15"/>
      <c r="I205" s="25"/>
    </row>
    <row r="206" spans="4:9">
      <c r="D206" s="12"/>
      <c r="H206" s="15"/>
      <c r="I206" s="25"/>
    </row>
    <row r="207" spans="4:9">
      <c r="D207" s="12"/>
      <c r="H207" s="15"/>
      <c r="I207" s="25"/>
    </row>
    <row r="208" spans="4:9">
      <c r="D208" s="12"/>
      <c r="H208" s="15"/>
      <c r="I208" s="25"/>
    </row>
    <row r="209" spans="4:9">
      <c r="D209" s="12"/>
      <c r="H209" s="15"/>
      <c r="I209" s="25"/>
    </row>
    <row r="210" spans="4:9">
      <c r="D210" s="12"/>
      <c r="H210" s="15"/>
      <c r="I210" s="25"/>
    </row>
    <row r="211" spans="4:9">
      <c r="D211" s="12"/>
      <c r="H211" s="15"/>
      <c r="I211" s="25"/>
    </row>
    <row r="212" spans="4:9">
      <c r="D212" s="12"/>
      <c r="H212" s="15"/>
      <c r="I212" s="25"/>
    </row>
    <row r="213" spans="4:9">
      <c r="D213" s="12"/>
      <c r="H213" s="15"/>
      <c r="I213" s="25"/>
    </row>
    <row r="214" spans="4:9">
      <c r="D214" s="12"/>
      <c r="H214" s="15"/>
      <c r="I214" s="25"/>
    </row>
    <row r="215" spans="4:9">
      <c r="D215" s="12"/>
      <c r="H215" s="15"/>
      <c r="I215" s="25"/>
    </row>
    <row r="216" spans="4:9">
      <c r="D216" s="12"/>
      <c r="H216" s="15"/>
      <c r="I216" s="25"/>
    </row>
    <row r="217" spans="4:9">
      <c r="D217" s="12"/>
      <c r="H217" s="15"/>
      <c r="I217" s="25"/>
    </row>
    <row r="218" spans="4:9">
      <c r="D218" s="12"/>
      <c r="H218" s="15"/>
      <c r="I218" s="25"/>
    </row>
    <row r="219" spans="4:9">
      <c r="D219" s="12"/>
      <c r="H219" s="15"/>
      <c r="I219" s="25"/>
    </row>
    <row r="220" spans="4:9">
      <c r="D220" s="12"/>
      <c r="H220" s="15"/>
      <c r="I220" s="25"/>
    </row>
    <row r="221" spans="4:9">
      <c r="D221" s="12"/>
      <c r="H221" s="15"/>
      <c r="I221" s="25"/>
    </row>
    <row r="222" spans="4:9">
      <c r="D222" s="12"/>
      <c r="H222" s="15"/>
      <c r="I222" s="25"/>
    </row>
    <row r="223" spans="4:9">
      <c r="D223" s="12"/>
      <c r="H223" s="15"/>
      <c r="I223" s="25"/>
    </row>
    <row r="224" spans="4:9">
      <c r="D224" s="12"/>
      <c r="H224" s="15"/>
      <c r="I224" s="25"/>
    </row>
    <row r="225" spans="4:9">
      <c r="D225" s="12"/>
      <c r="H225" s="15"/>
      <c r="I225" s="25"/>
    </row>
    <row r="226" spans="4:9">
      <c r="D226" s="12"/>
      <c r="H226" s="15"/>
      <c r="I226" s="25"/>
    </row>
    <row r="227" spans="4:9">
      <c r="D227" s="12"/>
      <c r="H227" s="15"/>
      <c r="I227" s="25"/>
    </row>
    <row r="228" spans="4:9">
      <c r="D228" s="12"/>
      <c r="H228" s="15"/>
      <c r="I228" s="25"/>
    </row>
    <row r="229" spans="4:9">
      <c r="D229" s="12"/>
      <c r="H229" s="15"/>
      <c r="I229" s="25"/>
    </row>
    <row r="230" spans="4:9">
      <c r="D230" s="12"/>
      <c r="H230" s="15"/>
      <c r="I230" s="25"/>
    </row>
    <row r="231" spans="4:9">
      <c r="D231" s="12"/>
      <c r="H231" s="15"/>
      <c r="I231" s="25"/>
    </row>
    <row r="232" spans="4:9">
      <c r="D232" s="12"/>
      <c r="H232" s="15"/>
      <c r="I232" s="25"/>
    </row>
    <row r="233" spans="4:9">
      <c r="D233" s="12"/>
      <c r="H233" s="15"/>
      <c r="I233" s="25"/>
    </row>
    <row r="234" spans="4:9">
      <c r="D234" s="12"/>
      <c r="H234" s="15"/>
      <c r="I234" s="25"/>
    </row>
    <row r="235" spans="4:9">
      <c r="D235" s="12"/>
      <c r="H235" s="15"/>
      <c r="I235" s="25"/>
    </row>
    <row r="236" spans="4:9">
      <c r="D236" s="12"/>
      <c r="H236" s="15"/>
      <c r="I236" s="25"/>
    </row>
    <row r="237" spans="4:9">
      <c r="D237" s="12"/>
      <c r="H237" s="15"/>
      <c r="I237" s="25"/>
    </row>
    <row r="238" spans="4:9">
      <c r="D238" s="12"/>
      <c r="H238" s="15"/>
      <c r="I238" s="25"/>
    </row>
    <row r="239" spans="4:9">
      <c r="D239" s="12"/>
      <c r="H239" s="15"/>
      <c r="I239" s="25"/>
    </row>
    <row r="240" spans="4:9">
      <c r="D240" s="12"/>
      <c r="H240" s="15"/>
      <c r="I240" s="25"/>
    </row>
    <row r="241" spans="4:9">
      <c r="D241" s="12"/>
      <c r="H241" s="15"/>
      <c r="I241" s="25"/>
    </row>
    <row r="242" spans="4:9">
      <c r="D242" s="12"/>
      <c r="H242" s="15"/>
      <c r="I242" s="25"/>
    </row>
    <row r="243" spans="4:9">
      <c r="D243" s="12"/>
      <c r="H243" s="15"/>
      <c r="I243" s="25"/>
    </row>
    <row r="244" spans="4:9">
      <c r="D244" s="12"/>
      <c r="H244" s="15"/>
      <c r="I244" s="25"/>
    </row>
    <row r="245" spans="4:9">
      <c r="D245" s="12"/>
      <c r="H245" s="15"/>
      <c r="I245" s="25"/>
    </row>
    <row r="246" spans="4:9">
      <c r="D246" s="12"/>
      <c r="H246" s="15"/>
      <c r="I246" s="25"/>
    </row>
    <row r="247" spans="4:9">
      <c r="D247" s="12"/>
      <c r="H247" s="15"/>
      <c r="I247" s="25"/>
    </row>
    <row r="248" spans="4:9">
      <c r="D248" s="12"/>
      <c r="H248" s="15"/>
      <c r="I248" s="25"/>
    </row>
    <row r="249" spans="4:9">
      <c r="D249" s="12"/>
      <c r="H249" s="15"/>
      <c r="I249" s="25"/>
    </row>
    <row r="250" spans="4:9">
      <c r="D250" s="12"/>
      <c r="H250" s="15"/>
      <c r="I250" s="25"/>
    </row>
    <row r="251" spans="4:9">
      <c r="D251" s="12"/>
      <c r="H251" s="15"/>
      <c r="I251" s="25"/>
    </row>
    <row r="252" spans="4:9">
      <c r="D252" s="12"/>
      <c r="H252" s="15"/>
      <c r="I252" s="25"/>
    </row>
    <row r="253" spans="4:9">
      <c r="D253" s="12"/>
      <c r="H253" s="15"/>
      <c r="I253" s="25"/>
    </row>
    <row r="254" spans="4:9">
      <c r="D254" s="12"/>
      <c r="H254" s="15"/>
      <c r="I254" s="25"/>
    </row>
    <row r="255" spans="4:9">
      <c r="D255" s="12"/>
      <c r="H255" s="15"/>
      <c r="I255" s="25"/>
    </row>
    <row r="256" spans="4:9">
      <c r="D256" s="12"/>
      <c r="H256" s="15"/>
      <c r="I256" s="25"/>
    </row>
    <row r="257" spans="4:9">
      <c r="D257" s="12"/>
      <c r="H257" s="15"/>
      <c r="I257" s="25"/>
    </row>
    <row r="258" spans="4:9">
      <c r="D258" s="12"/>
      <c r="H258" s="15"/>
      <c r="I258" s="25"/>
    </row>
    <row r="259" spans="4:9">
      <c r="D259" s="12"/>
      <c r="H259" s="15"/>
      <c r="I259" s="25"/>
    </row>
    <row r="260" spans="4:9">
      <c r="D260" s="12"/>
      <c r="H260" s="15"/>
      <c r="I260" s="25"/>
    </row>
    <row r="261" spans="4:9">
      <c r="D261" s="12"/>
      <c r="H261" s="15"/>
      <c r="I261" s="25"/>
    </row>
    <row r="262" spans="4:9">
      <c r="D262" s="12"/>
      <c r="H262" s="15"/>
      <c r="I262" s="25"/>
    </row>
    <row r="263" spans="4:9">
      <c r="D263" s="12"/>
      <c r="H263" s="15"/>
      <c r="I263" s="25"/>
    </row>
    <row r="264" spans="4:9">
      <c r="D264" s="12"/>
      <c r="H264" s="15"/>
      <c r="I264" s="25"/>
    </row>
    <row r="265" spans="4:9">
      <c r="D265" s="12"/>
      <c r="H265" s="15"/>
      <c r="I265" s="25"/>
    </row>
    <row r="266" spans="4:9">
      <c r="D266" s="12"/>
      <c r="H266" s="15"/>
      <c r="I266" s="25"/>
    </row>
    <row r="267" spans="4:9">
      <c r="D267" s="12"/>
      <c r="H267" s="15"/>
      <c r="I267" s="25"/>
    </row>
    <row r="268" spans="4:9">
      <c r="D268" s="12"/>
      <c r="H268" s="15"/>
      <c r="I268" s="25"/>
    </row>
    <row r="269" spans="4:9">
      <c r="D269" s="12"/>
      <c r="H269" s="15"/>
      <c r="I269" s="25"/>
    </row>
    <row r="270" spans="4:9">
      <c r="D270" s="12"/>
      <c r="H270" s="15"/>
      <c r="I270" s="25"/>
    </row>
    <row r="271" spans="4:9">
      <c r="D271" s="12"/>
      <c r="H271" s="15"/>
      <c r="I271" s="25"/>
    </row>
    <row r="272" spans="4:9">
      <c r="D272" s="12"/>
      <c r="H272" s="15"/>
      <c r="I272" s="25"/>
    </row>
    <row r="273" spans="4:9">
      <c r="D273" s="12"/>
      <c r="H273" s="15"/>
      <c r="I273" s="25"/>
    </row>
    <row r="274" spans="4:9">
      <c r="D274" s="12"/>
      <c r="H274" s="15"/>
      <c r="I274" s="25"/>
    </row>
    <row r="275" spans="4:9">
      <c r="D275" s="12"/>
      <c r="H275" s="15"/>
      <c r="I275" s="25"/>
    </row>
    <row r="276" spans="4:9">
      <c r="D276" s="12"/>
      <c r="H276" s="15"/>
      <c r="I276" s="25"/>
    </row>
    <row r="277" spans="4:9">
      <c r="D277" s="12"/>
      <c r="H277" s="15"/>
      <c r="I277" s="25"/>
    </row>
    <row r="278" spans="4:9">
      <c r="D278" s="12"/>
      <c r="H278" s="15"/>
      <c r="I278" s="25"/>
    </row>
    <row r="279" spans="4:9">
      <c r="D279" s="12"/>
      <c r="H279" s="15"/>
      <c r="I279" s="25"/>
    </row>
    <row r="280" spans="4:9">
      <c r="D280" s="12"/>
      <c r="H280" s="15"/>
      <c r="I280" s="25"/>
    </row>
    <row r="281" spans="4:9">
      <c r="D281" s="12"/>
      <c r="H281" s="15"/>
      <c r="I281" s="25"/>
    </row>
    <row r="282" spans="4:9">
      <c r="D282" s="12"/>
      <c r="H282" s="15"/>
      <c r="I282" s="25"/>
    </row>
    <row r="283" spans="4:9">
      <c r="D283" s="12"/>
      <c r="H283" s="15"/>
      <c r="I283" s="25"/>
    </row>
    <row r="284" spans="4:9">
      <c r="D284" s="12"/>
      <c r="H284" s="15"/>
      <c r="I284" s="25"/>
    </row>
    <row r="285" spans="4:9">
      <c r="D285" s="12"/>
      <c r="H285" s="15"/>
      <c r="I285" s="25"/>
    </row>
    <row r="286" spans="4:9">
      <c r="D286" s="12"/>
      <c r="H286" s="15"/>
      <c r="I286" s="25"/>
    </row>
    <row r="287" spans="4:9">
      <c r="D287" s="12"/>
      <c r="H287" s="15"/>
      <c r="I287" s="25"/>
    </row>
    <row r="288" spans="4:9">
      <c r="D288" s="12"/>
      <c r="H288" s="15"/>
      <c r="I288" s="25"/>
    </row>
    <row r="289" spans="4:9">
      <c r="D289" s="12"/>
      <c r="H289" s="15"/>
      <c r="I289" s="25"/>
    </row>
    <row r="290" spans="4:9">
      <c r="D290" s="12"/>
      <c r="H290" s="15"/>
      <c r="I290" s="25"/>
    </row>
    <row r="291" spans="4:9">
      <c r="D291" s="12"/>
      <c r="H291" s="15"/>
      <c r="I291" s="25"/>
    </row>
    <row r="292" spans="4:9">
      <c r="D292" s="12"/>
      <c r="H292" s="15"/>
      <c r="I292" s="25"/>
    </row>
    <row r="293" spans="4:9">
      <c r="D293" s="12"/>
      <c r="H293" s="15"/>
      <c r="I293" s="25"/>
    </row>
    <row r="294" spans="4:9">
      <c r="D294" s="12"/>
      <c r="H294" s="15"/>
      <c r="I294" s="25"/>
    </row>
    <row r="295" spans="4:9">
      <c r="D295" s="12"/>
      <c r="H295" s="15"/>
      <c r="I295" s="25"/>
    </row>
    <row r="296" spans="4:9">
      <c r="D296" s="12"/>
      <c r="H296" s="15"/>
      <c r="I296" s="25"/>
    </row>
    <row r="297" spans="4:9">
      <c r="D297" s="12"/>
      <c r="H297" s="15"/>
      <c r="I297" s="25"/>
    </row>
    <row r="298" spans="4:9">
      <c r="D298" s="12"/>
      <c r="H298" s="15"/>
      <c r="I298" s="25"/>
    </row>
    <row r="299" spans="4:9">
      <c r="D299" s="12"/>
      <c r="H299" s="15"/>
      <c r="I299" s="25"/>
    </row>
    <row r="300" spans="4:9">
      <c r="D300" s="12"/>
      <c r="H300" s="15"/>
      <c r="I300" s="25"/>
    </row>
    <row r="301" spans="4:9">
      <c r="D301" s="12"/>
      <c r="H301" s="15"/>
      <c r="I301" s="25"/>
    </row>
    <row r="302" spans="4:9">
      <c r="D302" s="12"/>
      <c r="H302" s="15"/>
      <c r="I302" s="25"/>
    </row>
    <row r="303" spans="4:9">
      <c r="D303" s="12"/>
      <c r="H303" s="15"/>
      <c r="I303" s="25"/>
    </row>
    <row r="304" spans="4:9">
      <c r="D304" s="12"/>
      <c r="H304" s="15"/>
      <c r="I304" s="25"/>
    </row>
    <row r="305" spans="4:9">
      <c r="D305" s="12"/>
      <c r="H305" s="15"/>
      <c r="I305" s="25"/>
    </row>
    <row r="306" spans="4:9">
      <c r="D306" s="12"/>
      <c r="H306" s="15"/>
      <c r="I306" s="25"/>
    </row>
    <row r="307" spans="4:9">
      <c r="D307" s="12"/>
      <c r="H307" s="15"/>
      <c r="I307" s="25"/>
    </row>
    <row r="308" spans="4:9">
      <c r="D308" s="12"/>
      <c r="H308" s="15"/>
      <c r="I308" s="25"/>
    </row>
    <row r="309" spans="4:9">
      <c r="D309" s="12"/>
      <c r="H309" s="15"/>
      <c r="I309" s="25"/>
    </row>
    <row r="310" spans="4:9">
      <c r="D310" s="12"/>
      <c r="H310" s="15"/>
      <c r="I310" s="25"/>
    </row>
    <row r="311" spans="4:9">
      <c r="D311" s="12"/>
      <c r="H311" s="15"/>
      <c r="I311" s="25"/>
    </row>
    <row r="312" spans="4:9">
      <c r="D312" s="12"/>
      <c r="H312" s="15"/>
      <c r="I312" s="25"/>
    </row>
    <row r="313" spans="4:9">
      <c r="D313" s="12"/>
      <c r="H313" s="15"/>
      <c r="I313" s="25"/>
    </row>
    <row r="314" spans="4:9">
      <c r="D314" s="12"/>
      <c r="H314" s="15"/>
      <c r="I314" s="25"/>
    </row>
    <row r="315" spans="4:9">
      <c r="D315" s="12"/>
      <c r="H315" s="15"/>
      <c r="I315" s="25"/>
    </row>
    <row r="316" spans="4:9">
      <c r="D316" s="12"/>
      <c r="H316" s="15"/>
      <c r="I316" s="25"/>
    </row>
    <row r="317" spans="4:9">
      <c r="D317" s="12"/>
      <c r="H317" s="15"/>
      <c r="I317" s="25"/>
    </row>
    <row r="318" spans="4:9">
      <c r="D318" s="12"/>
      <c r="H318" s="15"/>
      <c r="I318" s="25"/>
    </row>
    <row r="319" spans="4:9">
      <c r="D319" s="12"/>
      <c r="H319" s="15"/>
      <c r="I319" s="25"/>
    </row>
    <row r="320" spans="4:9">
      <c r="D320" s="12"/>
      <c r="H320" s="15"/>
      <c r="I320" s="25"/>
    </row>
    <row r="321" spans="4:9">
      <c r="D321" s="12"/>
      <c r="H321" s="15"/>
      <c r="I321" s="25"/>
    </row>
    <row r="322" spans="4:9">
      <c r="D322" s="12"/>
      <c r="H322" s="15"/>
      <c r="I322" s="25"/>
    </row>
    <row r="323" spans="4:9">
      <c r="D323" s="12"/>
      <c r="H323" s="15"/>
      <c r="I323" s="25"/>
    </row>
    <row r="324" spans="4:9">
      <c r="D324" s="12"/>
      <c r="H324" s="15"/>
      <c r="I324" s="25"/>
    </row>
    <row r="325" spans="4:9">
      <c r="D325" s="12"/>
      <c r="H325" s="15"/>
      <c r="I325" s="25"/>
    </row>
    <row r="326" spans="4:9">
      <c r="D326" s="12"/>
      <c r="H326" s="15"/>
      <c r="I326" s="25"/>
    </row>
    <row r="327" spans="4:9">
      <c r="D327" s="12"/>
      <c r="H327" s="15"/>
      <c r="I327" s="25"/>
    </row>
    <row r="328" spans="4:9">
      <c r="D328" s="12"/>
      <c r="H328" s="15"/>
      <c r="I328" s="25"/>
    </row>
    <row r="329" spans="4:9">
      <c r="D329" s="12"/>
      <c r="H329" s="15"/>
      <c r="I329" s="25"/>
    </row>
    <row r="330" spans="4:9">
      <c r="D330" s="12"/>
      <c r="H330" s="15"/>
      <c r="I330" s="25"/>
    </row>
    <row r="331" spans="4:9">
      <c r="D331" s="12"/>
      <c r="H331" s="15"/>
      <c r="I331" s="25"/>
    </row>
    <row r="332" spans="4:9">
      <c r="D332" s="12"/>
      <c r="H332" s="15"/>
      <c r="I332" s="25"/>
    </row>
    <row r="333" spans="4:9">
      <c r="D333" s="12"/>
      <c r="H333" s="15"/>
      <c r="I333" s="25"/>
    </row>
    <row r="334" spans="4:9">
      <c r="D334" s="12"/>
      <c r="H334" s="15"/>
      <c r="I334" s="25"/>
    </row>
    <row r="335" spans="4:9">
      <c r="D335" s="12"/>
      <c r="H335" s="15"/>
      <c r="I335" s="25"/>
    </row>
    <row r="336" spans="4:9">
      <c r="D336" s="12"/>
      <c r="H336" s="15"/>
      <c r="I336" s="25"/>
    </row>
    <row r="337" spans="4:9">
      <c r="D337" s="12"/>
      <c r="H337" s="15"/>
      <c r="I337" s="25"/>
    </row>
    <row r="338" spans="4:9">
      <c r="D338" s="12"/>
      <c r="H338" s="15"/>
      <c r="I338" s="25"/>
    </row>
    <row r="339" spans="4:9">
      <c r="D339" s="12"/>
      <c r="H339" s="15"/>
      <c r="I339" s="25"/>
    </row>
    <row r="340" spans="4:9">
      <c r="D340" s="12"/>
      <c r="H340" s="15"/>
      <c r="I340" s="25"/>
    </row>
    <row r="341" spans="4:9">
      <c r="D341" s="12"/>
      <c r="H341" s="15"/>
      <c r="I341" s="25"/>
    </row>
    <row r="342" spans="4:9">
      <c r="D342" s="12"/>
      <c r="H342" s="15"/>
      <c r="I342" s="25"/>
    </row>
    <row r="343" spans="4:9">
      <c r="D343" s="12"/>
      <c r="H343" s="15"/>
      <c r="I343" s="25"/>
    </row>
    <row r="344" spans="4:9">
      <c r="D344" s="12"/>
      <c r="H344" s="15"/>
      <c r="I344" s="25"/>
    </row>
    <row r="345" spans="4:9">
      <c r="D345" s="12"/>
      <c r="H345" s="15"/>
      <c r="I345" s="25"/>
    </row>
    <row r="346" spans="4:9">
      <c r="D346" s="12"/>
      <c r="H346" s="15"/>
      <c r="I346" s="25"/>
    </row>
    <row r="347" spans="4:9">
      <c r="D347" s="12"/>
      <c r="H347" s="15"/>
      <c r="I347" s="25"/>
    </row>
    <row r="348" spans="4:9">
      <c r="D348" s="12"/>
      <c r="H348" s="15"/>
      <c r="I348" s="25"/>
    </row>
    <row r="349" spans="4:9">
      <c r="D349" s="12"/>
      <c r="H349" s="15"/>
      <c r="I349" s="25"/>
    </row>
    <row r="350" spans="4:9">
      <c r="D350" s="12"/>
      <c r="H350" s="15"/>
      <c r="I350" s="25"/>
    </row>
    <row r="351" spans="4:9">
      <c r="D351" s="12"/>
      <c r="H351" s="15"/>
      <c r="I351" s="25"/>
    </row>
    <row r="352" spans="4:9">
      <c r="D352" s="12"/>
      <c r="H352" s="15"/>
      <c r="I352" s="25"/>
    </row>
    <row r="353" spans="4:9">
      <c r="D353" s="12"/>
      <c r="H353" s="15"/>
      <c r="I353" s="25"/>
    </row>
    <row r="354" spans="4:9">
      <c r="D354" s="12"/>
      <c r="H354" s="15"/>
      <c r="I354" s="25"/>
    </row>
    <row r="355" spans="4:9">
      <c r="D355" s="12"/>
      <c r="H355" s="15"/>
      <c r="I355" s="25"/>
    </row>
    <row r="356" spans="4:9">
      <c r="D356" s="12"/>
      <c r="H356" s="15"/>
      <c r="I356" s="25"/>
    </row>
    <row r="357" spans="4:9">
      <c r="D357" s="12"/>
      <c r="H357" s="15"/>
      <c r="I357" s="25"/>
    </row>
    <row r="358" spans="4:9">
      <c r="D358" s="12"/>
      <c r="H358" s="15"/>
      <c r="I358" s="25"/>
    </row>
    <row r="359" spans="4:9">
      <c r="D359" s="12"/>
      <c r="H359" s="15"/>
      <c r="I359" s="25"/>
    </row>
    <row r="360" spans="4:9">
      <c r="D360" s="12"/>
      <c r="H360" s="15"/>
      <c r="I360" s="25"/>
    </row>
    <row r="361" spans="4:9">
      <c r="D361" s="12"/>
      <c r="H361" s="15"/>
      <c r="I361" s="25"/>
    </row>
    <row r="362" spans="4:9">
      <c r="D362" s="12"/>
      <c r="H362" s="15"/>
      <c r="I362" s="25"/>
    </row>
    <row r="363" spans="4:9">
      <c r="D363" s="12"/>
      <c r="H363" s="15"/>
      <c r="I363" s="25"/>
    </row>
    <row r="364" spans="4:9">
      <c r="D364" s="12"/>
      <c r="H364" s="15"/>
      <c r="I364" s="25"/>
    </row>
    <row r="365" spans="4:9">
      <c r="D365" s="12"/>
      <c r="H365" s="15"/>
      <c r="I365" s="25"/>
    </row>
    <row r="366" spans="4:9">
      <c r="D366" s="12"/>
      <c r="H366" s="15"/>
      <c r="I366" s="25"/>
    </row>
    <row r="367" spans="4:9">
      <c r="D367" s="12"/>
      <c r="H367" s="15"/>
      <c r="I367" s="25"/>
    </row>
    <row r="368" spans="4:9">
      <c r="D368" s="12"/>
      <c r="H368" s="15"/>
      <c r="I368" s="25"/>
    </row>
    <row r="369" spans="4:9">
      <c r="D369" s="12"/>
      <c r="H369" s="15"/>
      <c r="I369" s="25"/>
    </row>
    <row r="370" spans="4:9">
      <c r="D370" s="12"/>
      <c r="H370" s="15"/>
      <c r="I370" s="25"/>
    </row>
    <row r="371" spans="4:9">
      <c r="D371" s="12"/>
      <c r="H371" s="15"/>
      <c r="I371" s="25"/>
    </row>
    <row r="372" spans="4:9">
      <c r="D372" s="12"/>
      <c r="H372" s="15"/>
      <c r="I372" s="25"/>
    </row>
    <row r="373" spans="4:9">
      <c r="D373" s="12"/>
      <c r="H373" s="15"/>
      <c r="I373" s="25"/>
    </row>
    <row r="374" spans="4:9">
      <c r="D374" s="12"/>
      <c r="H374" s="15"/>
      <c r="I374" s="25"/>
    </row>
    <row r="375" spans="4:9">
      <c r="D375" s="12"/>
      <c r="H375" s="15"/>
      <c r="I375" s="25"/>
    </row>
    <row r="376" spans="4:9">
      <c r="D376" s="12"/>
      <c r="H376" s="15"/>
      <c r="I376" s="25"/>
    </row>
    <row r="377" spans="4:9">
      <c r="D377" s="12"/>
      <c r="H377" s="15"/>
      <c r="I377" s="25"/>
    </row>
    <row r="378" spans="4:9">
      <c r="D378" s="12"/>
      <c r="H378" s="15"/>
      <c r="I378" s="25"/>
    </row>
    <row r="379" spans="4:9">
      <c r="D379" s="12"/>
      <c r="H379" s="15"/>
      <c r="I379" s="25"/>
    </row>
    <row r="380" spans="4:9">
      <c r="D380" s="12"/>
      <c r="H380" s="15"/>
      <c r="I380" s="25"/>
    </row>
    <row r="381" spans="4:9">
      <c r="D381" s="12"/>
      <c r="H381" s="15"/>
      <c r="I381" s="25"/>
    </row>
    <row r="382" spans="4:9">
      <c r="D382" s="12"/>
      <c r="H382" s="15"/>
      <c r="I382" s="25"/>
    </row>
    <row r="383" spans="4:9">
      <c r="D383" s="12"/>
      <c r="H383" s="15"/>
      <c r="I383" s="25"/>
    </row>
    <row r="384" spans="4:9">
      <c r="D384" s="12"/>
      <c r="H384" s="15"/>
      <c r="I384" s="25"/>
    </row>
    <row r="385" spans="4:9">
      <c r="D385" s="12"/>
      <c r="H385" s="15"/>
      <c r="I385" s="25"/>
    </row>
    <row r="386" spans="4:9">
      <c r="D386" s="12"/>
      <c r="H386" s="15"/>
      <c r="I386" s="25"/>
    </row>
    <row r="387" spans="4:9">
      <c r="D387" s="12"/>
      <c r="H387" s="15"/>
      <c r="I387" s="25"/>
    </row>
    <row r="388" spans="4:9">
      <c r="D388" s="12"/>
      <c r="H388" s="15"/>
      <c r="I388" s="25"/>
    </row>
    <row r="389" spans="4:9">
      <c r="D389" s="12"/>
      <c r="H389" s="15"/>
      <c r="I389" s="25"/>
    </row>
    <row r="390" spans="4:9">
      <c r="D390" s="12"/>
      <c r="H390" s="15"/>
      <c r="I390" s="25"/>
    </row>
    <row r="391" spans="4:9">
      <c r="D391" s="12"/>
      <c r="H391" s="15"/>
      <c r="I391" s="25"/>
    </row>
    <row r="392" spans="4:9">
      <c r="D392" s="12"/>
      <c r="H392" s="15"/>
      <c r="I392" s="25"/>
    </row>
    <row r="393" spans="4:9">
      <c r="D393" s="12"/>
      <c r="H393" s="15"/>
      <c r="I393" s="25"/>
    </row>
    <row r="394" spans="4:9">
      <c r="D394" s="12"/>
      <c r="H394" s="15"/>
      <c r="I394" s="25"/>
    </row>
    <row r="395" spans="4:9">
      <c r="D395" s="12"/>
      <c r="H395" s="15"/>
      <c r="I395" s="25"/>
    </row>
    <row r="396" spans="4:9">
      <c r="D396" s="12"/>
      <c r="H396" s="15"/>
      <c r="I396" s="25"/>
    </row>
    <row r="397" spans="4:9">
      <c r="D397" s="12"/>
      <c r="H397" s="15"/>
      <c r="I397" s="25"/>
    </row>
    <row r="398" spans="4:9">
      <c r="D398" s="12"/>
      <c r="H398" s="15"/>
      <c r="I398" s="25"/>
    </row>
    <row r="399" spans="4:9">
      <c r="D399" s="12"/>
      <c r="H399" s="15"/>
      <c r="I399" s="25"/>
    </row>
    <row r="400" spans="4:9">
      <c r="D400" s="12"/>
      <c r="H400" s="15"/>
      <c r="I400" s="25"/>
    </row>
    <row r="401" spans="4:9">
      <c r="D401" s="12"/>
      <c r="H401" s="15"/>
      <c r="I401" s="25"/>
    </row>
    <row r="402" spans="4:9">
      <c r="D402" s="12"/>
      <c r="H402" s="15"/>
      <c r="I402" s="25"/>
    </row>
    <row r="403" spans="4:9">
      <c r="D403" s="12"/>
      <c r="H403" s="15"/>
      <c r="I403" s="25"/>
    </row>
    <row r="404" spans="4:9">
      <c r="D404" s="12"/>
      <c r="H404" s="15"/>
      <c r="I404" s="25"/>
    </row>
    <row r="405" spans="4:9">
      <c r="D405" s="12"/>
      <c r="H405" s="15"/>
      <c r="I405" s="25"/>
    </row>
    <row r="406" spans="4:9">
      <c r="D406" s="12"/>
      <c r="H406" s="15"/>
      <c r="I406" s="25"/>
    </row>
    <row r="407" spans="4:9">
      <c r="D407" s="12"/>
      <c r="H407" s="15"/>
      <c r="I407" s="25"/>
    </row>
    <row r="408" spans="4:9">
      <c r="D408" s="12"/>
      <c r="H408" s="15"/>
      <c r="I408" s="25"/>
    </row>
    <row r="409" spans="4:9">
      <c r="D409" s="12"/>
      <c r="H409" s="15"/>
      <c r="I409" s="25"/>
    </row>
    <row r="410" spans="4:9">
      <c r="D410" s="12"/>
      <c r="H410" s="15"/>
      <c r="I410" s="25"/>
    </row>
    <row r="411" spans="4:9">
      <c r="D411" s="12"/>
      <c r="H411" s="15"/>
      <c r="I411" s="25"/>
    </row>
    <row r="412" spans="4:9">
      <c r="D412" s="12"/>
      <c r="H412" s="15"/>
      <c r="I412" s="25"/>
    </row>
    <row r="413" spans="4:9">
      <c r="D413" s="12"/>
      <c r="H413" s="15"/>
      <c r="I413" s="25"/>
    </row>
    <row r="414" spans="4:9">
      <c r="D414" s="12"/>
      <c r="H414" s="15"/>
      <c r="I414" s="25"/>
    </row>
    <row r="415" spans="4:9">
      <c r="D415" s="12"/>
      <c r="H415" s="15"/>
      <c r="I415" s="25"/>
    </row>
    <row r="416" spans="4:9">
      <c r="D416" s="12"/>
      <c r="H416" s="15"/>
      <c r="I416" s="25"/>
    </row>
    <row r="417" spans="4:9">
      <c r="D417" s="12"/>
      <c r="H417" s="15"/>
      <c r="I417" s="25"/>
    </row>
    <row r="418" spans="4:9">
      <c r="D418" s="12"/>
      <c r="H418" s="15"/>
      <c r="I418" s="25"/>
    </row>
    <row r="419" spans="4:9">
      <c r="D419" s="12"/>
      <c r="H419" s="15"/>
      <c r="I419" s="25"/>
    </row>
    <row r="420" spans="4:9">
      <c r="D420" s="12"/>
      <c r="H420" s="15"/>
      <c r="I420" s="25"/>
    </row>
    <row r="421" spans="4:9">
      <c r="D421" s="12"/>
      <c r="H421" s="15"/>
      <c r="I421" s="25"/>
    </row>
    <row r="422" spans="4:9">
      <c r="D422" s="12"/>
      <c r="H422" s="15"/>
      <c r="I422" s="25"/>
    </row>
    <row r="423" spans="4:9">
      <c r="D423" s="12"/>
      <c r="H423" s="15"/>
      <c r="I423" s="25"/>
    </row>
    <row r="424" spans="4:9">
      <c r="D424" s="12"/>
      <c r="H424" s="15"/>
      <c r="I424" s="25"/>
    </row>
    <row r="425" spans="4:9">
      <c r="D425" s="12"/>
      <c r="H425" s="15"/>
      <c r="I425" s="25"/>
    </row>
    <row r="426" spans="4:9">
      <c r="D426" s="12"/>
      <c r="H426" s="15"/>
      <c r="I426" s="25"/>
    </row>
    <row r="427" spans="4:9">
      <c r="D427" s="12"/>
      <c r="H427" s="15"/>
      <c r="I427" s="25"/>
    </row>
    <row r="428" spans="4:9">
      <c r="D428" s="12"/>
      <c r="H428" s="15"/>
      <c r="I428" s="25"/>
    </row>
    <row r="429" spans="4:9">
      <c r="D429" s="12"/>
      <c r="H429" s="15"/>
      <c r="I429" s="25"/>
    </row>
    <row r="430" spans="4:9">
      <c r="D430" s="12"/>
      <c r="H430" s="15"/>
      <c r="I430" s="25"/>
    </row>
    <row r="431" spans="4:9">
      <c r="D431" s="12"/>
      <c r="H431" s="15"/>
      <c r="I431" s="25"/>
    </row>
    <row r="432" spans="4:9">
      <c r="D432" s="12"/>
      <c r="H432" s="15"/>
      <c r="I432" s="25"/>
    </row>
    <row r="433" spans="4:9">
      <c r="D433" s="12"/>
      <c r="H433" s="15"/>
      <c r="I433" s="25"/>
    </row>
    <row r="434" spans="4:9">
      <c r="D434" s="12"/>
      <c r="H434" s="15"/>
      <c r="I434" s="25"/>
    </row>
    <row r="435" spans="4:9">
      <c r="D435" s="12"/>
      <c r="H435" s="15"/>
      <c r="I435" s="25"/>
    </row>
    <row r="436" spans="4:9">
      <c r="D436" s="12"/>
      <c r="H436" s="15"/>
      <c r="I436" s="25"/>
    </row>
    <row r="437" spans="4:9">
      <c r="D437" s="12"/>
      <c r="H437" s="15"/>
      <c r="I437" s="25"/>
    </row>
    <row r="438" spans="4:9">
      <c r="D438" s="12"/>
      <c r="H438" s="15"/>
      <c r="I438" s="25"/>
    </row>
    <row r="439" spans="4:9">
      <c r="D439" s="12"/>
      <c r="H439" s="15"/>
      <c r="I439" s="25"/>
    </row>
    <row r="440" spans="4:9">
      <c r="D440" s="12"/>
      <c r="H440" s="15"/>
      <c r="I440" s="25"/>
    </row>
    <row r="441" spans="4:9">
      <c r="D441" s="12"/>
      <c r="H441" s="15"/>
      <c r="I441" s="25"/>
    </row>
    <row r="442" spans="4:9">
      <c r="D442" s="12"/>
      <c r="H442" s="15"/>
      <c r="I442" s="25"/>
    </row>
    <row r="443" spans="4:9">
      <c r="D443" s="12"/>
      <c r="H443" s="15"/>
      <c r="I443" s="25"/>
    </row>
    <row r="444" spans="4:9">
      <c r="D444" s="12"/>
      <c r="H444" s="15"/>
      <c r="I444" s="25"/>
    </row>
    <row r="445" spans="4:9">
      <c r="D445" s="12"/>
      <c r="H445" s="15"/>
      <c r="I445" s="25"/>
    </row>
    <row r="446" spans="4:9">
      <c r="D446" s="12"/>
      <c r="H446" s="15"/>
      <c r="I446" s="25"/>
    </row>
    <row r="447" spans="4:9">
      <c r="D447" s="12"/>
      <c r="H447" s="15"/>
      <c r="I447" s="25"/>
    </row>
    <row r="448" spans="4:9">
      <c r="D448" s="12"/>
      <c r="H448" s="15"/>
      <c r="I448" s="25"/>
    </row>
    <row r="449" spans="4:9">
      <c r="D449" s="12"/>
      <c r="H449" s="15"/>
      <c r="I449" s="25"/>
    </row>
    <row r="450" spans="4:9">
      <c r="D450" s="12"/>
      <c r="H450" s="15"/>
      <c r="I450" s="25"/>
    </row>
    <row r="451" spans="4:9">
      <c r="D451" s="12"/>
      <c r="H451" s="15"/>
      <c r="I451" s="25"/>
    </row>
    <row r="452" spans="4:9">
      <c r="D452" s="12"/>
      <c r="H452" s="15"/>
      <c r="I452" s="25"/>
    </row>
    <row r="453" spans="4:9">
      <c r="D453" s="12"/>
      <c r="H453" s="15"/>
      <c r="I453" s="25"/>
    </row>
    <row r="454" spans="4:9">
      <c r="D454" s="12"/>
      <c r="H454" s="15"/>
      <c r="I454" s="25"/>
    </row>
    <row r="455" spans="4:9">
      <c r="D455" s="12"/>
      <c r="H455" s="15"/>
      <c r="I455" s="25"/>
    </row>
    <row r="456" spans="4:9">
      <c r="D456" s="12"/>
      <c r="H456" s="15"/>
      <c r="I456" s="25"/>
    </row>
    <row r="457" spans="4:9">
      <c r="D457" s="12"/>
      <c r="H457" s="15"/>
      <c r="I457" s="25"/>
    </row>
    <row r="458" spans="4:9">
      <c r="D458" s="12"/>
      <c r="H458" s="15"/>
      <c r="I458" s="25"/>
    </row>
    <row r="459" spans="4:9">
      <c r="D459" s="12"/>
      <c r="H459" s="15"/>
      <c r="I459" s="25"/>
    </row>
    <row r="460" spans="4:9">
      <c r="D460" s="12"/>
      <c r="H460" s="15"/>
      <c r="I460" s="25"/>
    </row>
    <row r="461" spans="4:9">
      <c r="D461" s="12"/>
      <c r="H461" s="15"/>
      <c r="I461" s="25"/>
    </row>
    <row r="462" spans="4:9">
      <c r="D462" s="12"/>
      <c r="H462" s="15"/>
      <c r="I462" s="25"/>
    </row>
    <row r="463" spans="4:9">
      <c r="D463" s="12"/>
      <c r="H463" s="15"/>
      <c r="I463" s="25"/>
    </row>
    <row r="464" spans="4:9">
      <c r="D464" s="12"/>
      <c r="H464" s="15"/>
      <c r="I464" s="25"/>
    </row>
    <row r="465" spans="4:9">
      <c r="D465" s="12"/>
      <c r="H465" s="15"/>
      <c r="I465" s="25"/>
    </row>
    <row r="466" spans="4:9">
      <c r="D466" s="12"/>
      <c r="H466" s="15"/>
      <c r="I466" s="25"/>
    </row>
    <row r="467" spans="4:9">
      <c r="D467" s="12"/>
      <c r="H467" s="15"/>
      <c r="I467" s="25"/>
    </row>
    <row r="468" spans="4:9">
      <c r="D468" s="12"/>
      <c r="H468" s="15"/>
      <c r="I468" s="25"/>
    </row>
    <row r="469" spans="4:9">
      <c r="D469" s="12"/>
      <c r="H469" s="15"/>
      <c r="I469" s="25"/>
    </row>
    <row r="470" spans="4:9">
      <c r="D470" s="12"/>
      <c r="H470" s="15"/>
      <c r="I470" s="25"/>
    </row>
    <row r="471" spans="4:9">
      <c r="D471" s="12"/>
      <c r="H471" s="15"/>
      <c r="I471" s="25"/>
    </row>
    <row r="472" spans="4:9">
      <c r="D472" s="12"/>
      <c r="H472" s="15"/>
      <c r="I472" s="25"/>
    </row>
    <row r="473" spans="4:9">
      <c r="D473" s="12"/>
      <c r="H473" s="15"/>
      <c r="I473" s="25"/>
    </row>
    <row r="474" spans="4:9">
      <c r="D474" s="12"/>
      <c r="H474" s="15"/>
      <c r="I474" s="25"/>
    </row>
    <row r="475" spans="4:9">
      <c r="D475" s="12"/>
      <c r="H475" s="15"/>
      <c r="I475" s="25"/>
    </row>
    <row r="476" spans="4:9">
      <c r="D476" s="12"/>
      <c r="H476" s="15"/>
      <c r="I476" s="25"/>
    </row>
    <row r="477" spans="4:9">
      <c r="D477" s="12"/>
      <c r="H477" s="15"/>
      <c r="I477" s="25"/>
    </row>
    <row r="478" spans="4:9">
      <c r="D478" s="12"/>
      <c r="H478" s="15"/>
      <c r="I478" s="25"/>
    </row>
    <row r="479" spans="4:9">
      <c r="D479" s="12"/>
      <c r="H479" s="15"/>
      <c r="I479" s="25"/>
    </row>
    <row r="480" spans="4:9">
      <c r="D480" s="12"/>
      <c r="H480" s="15"/>
      <c r="I480" s="25"/>
    </row>
    <row r="481" spans="4:9">
      <c r="D481" s="12"/>
      <c r="H481" s="15"/>
      <c r="I481" s="25"/>
    </row>
    <row r="482" spans="4:9">
      <c r="D482" s="12"/>
      <c r="H482" s="15"/>
      <c r="I482" s="25"/>
    </row>
    <row r="483" spans="4:9">
      <c r="D483" s="12"/>
      <c r="H483" s="15"/>
      <c r="I483" s="25"/>
    </row>
    <row r="484" spans="4:9">
      <c r="D484" s="12"/>
      <c r="H484" s="15"/>
      <c r="I484" s="25"/>
    </row>
    <row r="485" spans="4:9">
      <c r="D485" s="12"/>
      <c r="H485" s="15"/>
      <c r="I485" s="25"/>
    </row>
    <row r="486" spans="4:9">
      <c r="D486" s="12"/>
      <c r="H486" s="15"/>
      <c r="I486" s="25"/>
    </row>
    <row r="487" spans="4:9">
      <c r="D487" s="12"/>
      <c r="H487" s="15"/>
      <c r="I487" s="25"/>
    </row>
    <row r="488" spans="4:9">
      <c r="D488" s="12"/>
      <c r="H488" s="15"/>
      <c r="I488" s="25"/>
    </row>
    <row r="489" spans="4:9">
      <c r="D489" s="12"/>
      <c r="H489" s="15"/>
      <c r="I489" s="25"/>
    </row>
    <row r="490" spans="4:9">
      <c r="D490" s="12"/>
      <c r="H490" s="15"/>
      <c r="I490" s="25"/>
    </row>
    <row r="491" spans="4:9">
      <c r="D491" s="12"/>
      <c r="H491" s="15"/>
      <c r="I491" s="25"/>
    </row>
    <row r="492" spans="4:9">
      <c r="D492" s="12"/>
      <c r="H492" s="15"/>
      <c r="I492" s="25"/>
    </row>
    <row r="493" spans="4:9">
      <c r="D493" s="12"/>
      <c r="H493" s="15"/>
      <c r="I493" s="25"/>
    </row>
    <row r="494" spans="4:9">
      <c r="D494" s="12"/>
      <c r="H494" s="15"/>
      <c r="I494" s="25"/>
    </row>
    <row r="495" spans="4:9">
      <c r="D495" s="12"/>
      <c r="H495" s="15"/>
      <c r="I495" s="25"/>
    </row>
    <row r="496" spans="4:9">
      <c r="D496" s="12"/>
      <c r="H496" s="15"/>
      <c r="I496" s="25"/>
    </row>
    <row r="497" spans="4:9">
      <c r="D497" s="12"/>
      <c r="H497" s="15"/>
      <c r="I497" s="25"/>
    </row>
    <row r="498" spans="4:9">
      <c r="D498" s="12"/>
      <c r="H498" s="15"/>
      <c r="I498" s="25"/>
    </row>
    <row r="499" spans="4:9">
      <c r="D499" s="12"/>
      <c r="H499" s="15"/>
      <c r="I499" s="25"/>
    </row>
    <row r="500" spans="4:9">
      <c r="D500" s="12"/>
      <c r="H500" s="15"/>
      <c r="I500" s="25"/>
    </row>
    <row r="501" spans="4:9">
      <c r="D501" s="12"/>
      <c r="H501" s="15"/>
      <c r="I501" s="25"/>
    </row>
    <row r="502" spans="4:9">
      <c r="D502" s="12"/>
      <c r="H502" s="15"/>
      <c r="I502" s="25"/>
    </row>
    <row r="503" spans="4:9">
      <c r="D503" s="12"/>
      <c r="H503" s="15"/>
      <c r="I503" s="25"/>
    </row>
    <row r="504" spans="4:9">
      <c r="D504" s="12"/>
      <c r="H504" s="15"/>
      <c r="I504" s="25"/>
    </row>
    <row r="505" spans="4:9">
      <c r="D505" s="12"/>
      <c r="H505" s="15"/>
      <c r="I505" s="25"/>
    </row>
    <row r="506" spans="4:9">
      <c r="D506" s="12"/>
      <c r="H506" s="15"/>
      <c r="I506" s="25"/>
    </row>
    <row r="507" spans="4:9">
      <c r="D507" s="12"/>
      <c r="H507" s="15"/>
      <c r="I507" s="25"/>
    </row>
    <row r="508" spans="4:9">
      <c r="D508" s="12"/>
      <c r="H508" s="15"/>
      <c r="I508" s="25"/>
    </row>
    <row r="509" spans="4:9">
      <c r="D509" s="12"/>
      <c r="H509" s="15"/>
      <c r="I509" s="25"/>
    </row>
    <row r="510" spans="4:9">
      <c r="D510" s="12"/>
      <c r="H510" s="15"/>
      <c r="I510" s="25"/>
    </row>
    <row r="511" spans="4:9">
      <c r="D511" s="12"/>
      <c r="H511" s="15"/>
      <c r="I511" s="25"/>
    </row>
    <row r="512" spans="4:9">
      <c r="D512" s="12"/>
      <c r="H512" s="15"/>
      <c r="I512" s="25"/>
    </row>
    <row r="513" spans="4:9">
      <c r="D513" s="12"/>
      <c r="H513" s="15"/>
      <c r="I513" s="25"/>
    </row>
    <row r="514" spans="4:9">
      <c r="D514" s="12"/>
      <c r="H514" s="15"/>
      <c r="I514" s="25"/>
    </row>
    <row r="515" spans="4:9">
      <c r="D515" s="12"/>
      <c r="H515" s="15"/>
      <c r="I515" s="25"/>
    </row>
    <row r="516" spans="4:9">
      <c r="D516" s="12"/>
      <c r="H516" s="15"/>
      <c r="I516" s="25"/>
    </row>
    <row r="517" spans="4:9">
      <c r="D517" s="12"/>
      <c r="H517" s="15"/>
      <c r="I517" s="25"/>
    </row>
    <row r="518" spans="4:9">
      <c r="D518" s="12"/>
      <c r="H518" s="15"/>
      <c r="I518" s="25"/>
    </row>
    <row r="519" spans="4:9">
      <c r="D519" s="12"/>
      <c r="H519" s="15"/>
      <c r="I519" s="25"/>
    </row>
    <row r="520" spans="4:9">
      <c r="D520" s="12"/>
      <c r="H520" s="15"/>
      <c r="I520" s="25"/>
    </row>
    <row r="521" spans="4:9">
      <c r="D521" s="12"/>
      <c r="H521" s="15"/>
      <c r="I521" s="25"/>
    </row>
    <row r="522" spans="4:9">
      <c r="D522" s="12"/>
      <c r="H522" s="15"/>
      <c r="I522" s="25"/>
    </row>
    <row r="523" spans="4:9">
      <c r="D523" s="12"/>
      <c r="H523" s="15"/>
      <c r="I523" s="25"/>
    </row>
    <row r="524" spans="4:9">
      <c r="D524" s="12"/>
      <c r="H524" s="15"/>
      <c r="I524" s="25"/>
    </row>
    <row r="525" spans="4:9">
      <c r="D525" s="12"/>
      <c r="H525" s="15"/>
      <c r="I525" s="25"/>
    </row>
    <row r="526" spans="4:9">
      <c r="D526" s="12"/>
      <c r="H526" s="15"/>
      <c r="I526" s="25"/>
    </row>
    <row r="527" spans="4:9">
      <c r="D527" s="12"/>
      <c r="H527" s="15"/>
      <c r="I527" s="25"/>
    </row>
    <row r="528" spans="4:9">
      <c r="D528" s="12"/>
      <c r="H528" s="15"/>
      <c r="I528" s="25"/>
    </row>
    <row r="529" spans="4:9">
      <c r="D529" s="12"/>
      <c r="H529" s="15"/>
      <c r="I529" s="25"/>
    </row>
    <row r="530" spans="4:9">
      <c r="D530" s="12"/>
      <c r="H530" s="15"/>
      <c r="I530" s="25"/>
    </row>
    <row r="531" spans="4:9">
      <c r="D531" s="12"/>
      <c r="H531" s="15"/>
      <c r="I531" s="25"/>
    </row>
    <row r="532" spans="4:9">
      <c r="D532" s="12"/>
      <c r="H532" s="15"/>
      <c r="I532" s="25"/>
    </row>
    <row r="533" spans="4:9">
      <c r="D533" s="12"/>
      <c r="H533" s="15"/>
      <c r="I533" s="25"/>
    </row>
    <row r="534" spans="4:9">
      <c r="D534" s="12"/>
      <c r="H534" s="15"/>
      <c r="I534" s="25"/>
    </row>
    <row r="535" spans="4:9">
      <c r="D535" s="12"/>
      <c r="H535" s="15"/>
      <c r="I535" s="25"/>
    </row>
    <row r="536" spans="4:9">
      <c r="D536" s="12"/>
      <c r="H536" s="15"/>
      <c r="I536" s="25"/>
    </row>
    <row r="537" spans="4:9">
      <c r="D537" s="12"/>
      <c r="H537" s="15"/>
      <c r="I537" s="25"/>
    </row>
    <row r="538" spans="4:9">
      <c r="D538" s="12"/>
      <c r="H538" s="15"/>
      <c r="I538" s="25"/>
    </row>
    <row r="539" spans="4:9">
      <c r="D539" s="12"/>
      <c r="H539" s="15"/>
      <c r="I539" s="25"/>
    </row>
    <row r="540" spans="4:9">
      <c r="D540" s="12"/>
      <c r="H540" s="15"/>
      <c r="I540" s="25"/>
    </row>
    <row r="541" spans="4:9">
      <c r="D541" s="12"/>
      <c r="H541" s="15"/>
      <c r="I541" s="25"/>
    </row>
    <row r="542" spans="4:9">
      <c r="D542" s="12"/>
      <c r="H542" s="15"/>
      <c r="I542" s="25"/>
    </row>
    <row r="543" spans="4:9">
      <c r="D543" s="12"/>
      <c r="H543" s="15"/>
      <c r="I543" s="25"/>
    </row>
    <row r="544" spans="4:9">
      <c r="D544" s="12"/>
      <c r="H544" s="15"/>
      <c r="I544" s="25"/>
    </row>
    <row r="545" spans="4:9">
      <c r="D545" s="12"/>
      <c r="H545" s="15"/>
      <c r="I545" s="25"/>
    </row>
    <row r="546" spans="4:9">
      <c r="D546" s="12"/>
      <c r="H546" s="15"/>
      <c r="I546" s="25"/>
    </row>
    <row r="547" spans="4:9">
      <c r="D547" s="12"/>
      <c r="H547" s="15"/>
      <c r="I547" s="25"/>
    </row>
    <row r="548" spans="4:9">
      <c r="D548" s="12"/>
      <c r="H548" s="15"/>
      <c r="I548" s="25"/>
    </row>
    <row r="549" spans="4:9">
      <c r="D549" s="12"/>
      <c r="H549" s="15"/>
      <c r="I549" s="25"/>
    </row>
    <row r="550" spans="4:9">
      <c r="D550" s="12"/>
      <c r="H550" s="15"/>
      <c r="I550" s="25"/>
    </row>
    <row r="551" spans="4:9">
      <c r="D551" s="12"/>
      <c r="H551" s="15"/>
      <c r="I551" s="25"/>
    </row>
    <row r="552" spans="4:9">
      <c r="D552" s="12"/>
      <c r="H552" s="15"/>
      <c r="I552" s="25"/>
    </row>
    <row r="553" spans="4:9">
      <c r="D553" s="12"/>
      <c r="H553" s="15"/>
      <c r="I553" s="25"/>
    </row>
    <row r="554" spans="4:9">
      <c r="D554" s="12"/>
      <c r="H554" s="15"/>
      <c r="I554" s="25"/>
    </row>
    <row r="555" spans="4:9">
      <c r="D555" s="12"/>
      <c r="H555" s="15"/>
      <c r="I555" s="25"/>
    </row>
    <row r="556" spans="4:9">
      <c r="D556" s="12"/>
      <c r="H556" s="15"/>
      <c r="I556" s="25"/>
    </row>
    <row r="557" spans="4:9">
      <c r="D557" s="12"/>
      <c r="H557" s="15"/>
      <c r="I557" s="25"/>
    </row>
    <row r="558" spans="4:9">
      <c r="D558" s="12"/>
      <c r="H558" s="15"/>
      <c r="I558" s="25"/>
    </row>
    <row r="559" spans="4:9">
      <c r="D559" s="12"/>
      <c r="H559" s="15"/>
      <c r="I559" s="25"/>
    </row>
    <row r="560" spans="4:9">
      <c r="D560" s="12"/>
      <c r="H560" s="15"/>
      <c r="I560" s="25"/>
    </row>
    <row r="561" spans="4:9">
      <c r="D561" s="12"/>
      <c r="H561" s="15"/>
      <c r="I561" s="25"/>
    </row>
    <row r="562" spans="4:9">
      <c r="D562" s="12"/>
      <c r="H562" s="15"/>
      <c r="I562" s="25"/>
    </row>
    <row r="563" spans="4:9">
      <c r="D563" s="12"/>
      <c r="H563" s="15"/>
      <c r="I563" s="25"/>
    </row>
    <row r="564" spans="4:9">
      <c r="D564" s="12"/>
      <c r="H564" s="15"/>
      <c r="I564" s="25"/>
    </row>
    <row r="565" spans="4:9">
      <c r="D565" s="12"/>
      <c r="H565" s="15"/>
      <c r="I565" s="25"/>
    </row>
    <row r="566" spans="4:9">
      <c r="D566" s="12"/>
      <c r="H566" s="15"/>
      <c r="I566" s="25"/>
    </row>
    <row r="567" spans="4:9">
      <c r="D567" s="12"/>
      <c r="H567" s="15"/>
      <c r="I567" s="25"/>
    </row>
    <row r="568" spans="4:9">
      <c r="D568" s="12"/>
      <c r="H568" s="15"/>
      <c r="I568" s="25"/>
    </row>
    <row r="569" spans="4:9">
      <c r="D569" s="12"/>
      <c r="H569" s="15"/>
      <c r="I569" s="25"/>
    </row>
    <row r="570" spans="4:9">
      <c r="D570" s="12"/>
      <c r="H570" s="15"/>
      <c r="I570" s="25"/>
    </row>
    <row r="571" spans="4:9">
      <c r="D571" s="12"/>
      <c r="H571" s="15"/>
      <c r="I571" s="25"/>
    </row>
    <row r="572" spans="4:9">
      <c r="D572" s="12"/>
      <c r="H572" s="15"/>
      <c r="I572" s="25"/>
    </row>
    <row r="573" spans="4:9">
      <c r="D573" s="12"/>
      <c r="H573" s="15"/>
      <c r="I573" s="25"/>
    </row>
    <row r="574" spans="4:9">
      <c r="D574" s="12"/>
      <c r="H574" s="15"/>
      <c r="I574" s="25"/>
    </row>
    <row r="575" spans="4:9">
      <c r="D575" s="12"/>
      <c r="H575" s="15"/>
      <c r="I575" s="25"/>
    </row>
    <row r="576" spans="4:9">
      <c r="D576" s="12"/>
      <c r="H576" s="15"/>
      <c r="I576" s="25"/>
    </row>
    <row r="577" spans="4:9">
      <c r="D577" s="12"/>
      <c r="H577" s="15"/>
      <c r="I577" s="25"/>
    </row>
    <row r="578" spans="4:9">
      <c r="D578" s="12"/>
      <c r="H578" s="15"/>
      <c r="I578" s="25"/>
    </row>
    <row r="579" spans="4:9">
      <c r="D579" s="12"/>
      <c r="H579" s="15"/>
      <c r="I579" s="25"/>
    </row>
    <row r="580" spans="4:9">
      <c r="D580" s="12"/>
      <c r="H580" s="15"/>
      <c r="I580" s="25"/>
    </row>
    <row r="581" spans="4:9">
      <c r="D581" s="12"/>
      <c r="H581" s="15"/>
      <c r="I581" s="25"/>
    </row>
    <row r="582" spans="4:9">
      <c r="D582" s="12"/>
      <c r="H582" s="15"/>
      <c r="I582" s="25"/>
    </row>
    <row r="583" spans="4:9">
      <c r="D583" s="12"/>
      <c r="H583" s="15"/>
      <c r="I583" s="25"/>
    </row>
    <row r="584" spans="4:9">
      <c r="D584" s="12"/>
      <c r="H584" s="15"/>
      <c r="I584" s="25"/>
    </row>
    <row r="585" spans="4:9">
      <c r="D585" s="12"/>
      <c r="H585" s="15"/>
      <c r="I585" s="25"/>
    </row>
    <row r="586" spans="4:9">
      <c r="D586" s="12"/>
      <c r="H586" s="15"/>
      <c r="I586" s="25"/>
    </row>
    <row r="587" spans="4:9">
      <c r="D587" s="12"/>
      <c r="H587" s="15"/>
      <c r="I587" s="25"/>
    </row>
    <row r="588" spans="4:9">
      <c r="D588" s="12"/>
      <c r="H588" s="15"/>
      <c r="I588" s="25"/>
    </row>
    <row r="589" spans="4:9">
      <c r="D589" s="12"/>
      <c r="H589" s="15"/>
      <c r="I589" s="25"/>
    </row>
    <row r="590" spans="4:9">
      <c r="D590" s="12"/>
      <c r="H590" s="15"/>
      <c r="I590" s="25"/>
    </row>
    <row r="591" spans="4:9">
      <c r="D591" s="12"/>
      <c r="H591" s="15"/>
      <c r="I591" s="25"/>
    </row>
    <row r="592" spans="4:9">
      <c r="D592" s="12"/>
      <c r="H592" s="15"/>
      <c r="I592" s="25"/>
    </row>
    <row r="593" spans="4:9">
      <c r="D593" s="12"/>
      <c r="H593" s="15"/>
      <c r="I593" s="25"/>
    </row>
    <row r="594" spans="4:9">
      <c r="D594" s="12"/>
      <c r="H594" s="15"/>
      <c r="I594" s="25"/>
    </row>
    <row r="595" spans="4:9">
      <c r="D595" s="12"/>
      <c r="H595" s="15"/>
      <c r="I595" s="25"/>
    </row>
    <row r="596" spans="4:9">
      <c r="D596" s="12"/>
      <c r="H596" s="15"/>
      <c r="I596" s="25"/>
    </row>
    <row r="597" spans="4:9">
      <c r="D597" s="12"/>
      <c r="H597" s="15"/>
      <c r="I597" s="25"/>
    </row>
    <row r="598" spans="4:9">
      <c r="D598" s="12"/>
      <c r="H598" s="15"/>
      <c r="I598" s="25"/>
    </row>
    <row r="599" spans="4:9">
      <c r="D599" s="12"/>
      <c r="H599" s="15"/>
      <c r="I599" s="25"/>
    </row>
    <row r="600" spans="4:9">
      <c r="D600" s="12"/>
      <c r="H600" s="15"/>
      <c r="I600" s="25"/>
    </row>
    <row r="601" spans="4:9">
      <c r="D601" s="12"/>
      <c r="H601" s="15"/>
      <c r="I601" s="25"/>
    </row>
    <row r="602" spans="4:9">
      <c r="D602" s="12"/>
      <c r="H602" s="15"/>
      <c r="I602" s="25"/>
    </row>
    <row r="603" spans="4:9">
      <c r="D603" s="12"/>
      <c r="H603" s="15"/>
      <c r="I603" s="25"/>
    </row>
    <row r="604" spans="4:9">
      <c r="D604" s="12"/>
      <c r="H604" s="15"/>
      <c r="I604" s="25"/>
    </row>
    <row r="605" spans="4:9">
      <c r="D605" s="12"/>
      <c r="H605" s="15"/>
      <c r="I605" s="25"/>
    </row>
    <row r="606" spans="4:9">
      <c r="D606" s="12"/>
      <c r="H606" s="15"/>
      <c r="I606" s="25"/>
    </row>
    <row r="607" spans="4:9">
      <c r="D607" s="12"/>
      <c r="H607" s="15"/>
      <c r="I607" s="25"/>
    </row>
    <row r="608" spans="4:9">
      <c r="D608" s="12"/>
      <c r="H608" s="15"/>
      <c r="I608" s="25"/>
    </row>
    <row r="609" spans="4:9">
      <c r="D609" s="12"/>
      <c r="H609" s="15"/>
      <c r="I609" s="25"/>
    </row>
    <row r="610" spans="4:9">
      <c r="D610" s="12"/>
      <c r="H610" s="15"/>
      <c r="I610" s="25"/>
    </row>
    <row r="611" spans="4:9">
      <c r="D611" s="12"/>
      <c r="H611" s="15"/>
      <c r="I611" s="25"/>
    </row>
    <row r="612" spans="4:9">
      <c r="D612" s="12"/>
      <c r="H612" s="15"/>
      <c r="I612" s="25"/>
    </row>
    <row r="613" spans="4:9">
      <c r="D613" s="12"/>
      <c r="H613" s="15"/>
      <c r="I613" s="25"/>
    </row>
    <row r="614" spans="4:9">
      <c r="D614" s="12"/>
      <c r="H614" s="15"/>
      <c r="I614" s="25"/>
    </row>
    <row r="615" spans="4:9">
      <c r="D615" s="12"/>
      <c r="H615" s="15"/>
      <c r="I615" s="25"/>
    </row>
    <row r="616" spans="4:9">
      <c r="D616" s="12"/>
      <c r="H616" s="15"/>
      <c r="I616" s="25"/>
    </row>
    <row r="617" spans="4:9">
      <c r="D617" s="12"/>
      <c r="H617" s="15"/>
      <c r="I617" s="25"/>
    </row>
    <row r="618" spans="4:9">
      <c r="D618" s="12"/>
      <c r="H618" s="15"/>
      <c r="I618" s="25"/>
    </row>
    <row r="619" spans="4:9">
      <c r="D619" s="12"/>
      <c r="H619" s="15"/>
      <c r="I619" s="25"/>
    </row>
    <row r="620" spans="4:9">
      <c r="D620" s="12"/>
      <c r="H620" s="15"/>
      <c r="I620" s="25"/>
    </row>
    <row r="621" spans="4:9">
      <c r="D621" s="12"/>
      <c r="H621" s="15"/>
      <c r="I621" s="25"/>
    </row>
    <row r="622" spans="4:9">
      <c r="D622" s="12"/>
      <c r="H622" s="15"/>
      <c r="I622" s="25"/>
    </row>
    <row r="623" spans="4:9">
      <c r="D623" s="12"/>
      <c r="H623" s="15"/>
      <c r="I623" s="25"/>
    </row>
    <row r="624" spans="4:9">
      <c r="D624" s="12"/>
      <c r="H624" s="15"/>
      <c r="I624" s="25"/>
    </row>
    <row r="625" spans="4:9">
      <c r="D625" s="12"/>
      <c r="H625" s="15"/>
      <c r="I625" s="25"/>
    </row>
    <row r="626" spans="4:9">
      <c r="D626" s="12"/>
      <c r="H626" s="15"/>
      <c r="I626" s="25"/>
    </row>
    <row r="627" spans="4:9">
      <c r="D627" s="12"/>
      <c r="H627" s="15"/>
      <c r="I627" s="25"/>
    </row>
    <row r="628" spans="4:9">
      <c r="D628" s="12"/>
      <c r="H628" s="15"/>
      <c r="I628" s="25"/>
    </row>
    <row r="629" spans="4:9">
      <c r="D629" s="12"/>
      <c r="H629" s="15"/>
      <c r="I629" s="25"/>
    </row>
    <row r="630" spans="4:9">
      <c r="D630" s="12"/>
      <c r="H630" s="15"/>
      <c r="I630" s="25"/>
    </row>
    <row r="631" spans="4:9">
      <c r="D631" s="12"/>
      <c r="H631" s="15"/>
      <c r="I631" s="25"/>
    </row>
    <row r="632" spans="4:9">
      <c r="D632" s="12"/>
      <c r="H632" s="15"/>
      <c r="I632" s="25"/>
    </row>
    <row r="633" spans="4:9">
      <c r="D633" s="12"/>
      <c r="H633" s="15"/>
      <c r="I633" s="25"/>
    </row>
    <row r="634" spans="4:9">
      <c r="D634" s="12"/>
      <c r="H634" s="15"/>
      <c r="I634" s="25"/>
    </row>
    <row r="635" spans="4:9">
      <c r="D635" s="12"/>
      <c r="H635" s="15"/>
      <c r="I635" s="25"/>
    </row>
    <row r="636" spans="4:9">
      <c r="D636" s="12"/>
      <c r="H636" s="15"/>
      <c r="I636" s="25"/>
    </row>
    <row r="637" spans="4:9">
      <c r="D637" s="12"/>
      <c r="H637" s="15"/>
      <c r="I637" s="25"/>
    </row>
    <row r="638" spans="4:9">
      <c r="D638" s="12"/>
      <c r="H638" s="15"/>
      <c r="I638" s="25"/>
    </row>
    <row r="639" spans="4:9">
      <c r="D639" s="12"/>
      <c r="H639" s="15"/>
      <c r="I639" s="25"/>
    </row>
    <row r="640" spans="4:9">
      <c r="D640" s="12"/>
      <c r="H640" s="15"/>
      <c r="I640" s="25"/>
    </row>
    <row r="641" spans="4:9">
      <c r="D641" s="12"/>
      <c r="H641" s="15"/>
      <c r="I641" s="25"/>
    </row>
    <row r="642" spans="4:9">
      <c r="D642" s="12"/>
      <c r="H642" s="15"/>
      <c r="I642" s="25"/>
    </row>
    <row r="643" spans="4:9">
      <c r="D643" s="12"/>
      <c r="H643" s="15"/>
      <c r="I643" s="25"/>
    </row>
    <row r="644" spans="4:9">
      <c r="D644" s="12"/>
      <c r="H644" s="15"/>
      <c r="I644" s="25"/>
    </row>
    <row r="645" spans="4:9">
      <c r="D645" s="12"/>
      <c r="H645" s="15"/>
      <c r="I645" s="25"/>
    </row>
    <row r="646" spans="4:9">
      <c r="D646" s="12"/>
      <c r="H646" s="15"/>
      <c r="I646" s="25"/>
    </row>
    <row r="647" spans="4:9">
      <c r="D647" s="12"/>
      <c r="H647" s="15"/>
      <c r="I647" s="25"/>
    </row>
    <row r="648" spans="4:9">
      <c r="D648" s="12"/>
      <c r="H648" s="15"/>
      <c r="I648" s="25"/>
    </row>
    <row r="649" spans="4:9">
      <c r="D649" s="12"/>
      <c r="H649" s="15"/>
      <c r="I649" s="25"/>
    </row>
    <row r="650" spans="4:9">
      <c r="D650" s="12"/>
      <c r="H650" s="15"/>
      <c r="I650" s="25"/>
    </row>
    <row r="651" spans="4:9">
      <c r="D651" s="12"/>
      <c r="H651" s="15"/>
      <c r="I651" s="25"/>
    </row>
    <row r="652" spans="4:9">
      <c r="D652" s="12"/>
      <c r="H652" s="15"/>
      <c r="I652" s="25"/>
    </row>
    <row r="653" spans="4:9">
      <c r="D653" s="12"/>
      <c r="H653" s="15"/>
      <c r="I653" s="25"/>
    </row>
    <row r="654" spans="4:9">
      <c r="D654" s="12"/>
      <c r="H654" s="15"/>
      <c r="I654" s="25"/>
    </row>
    <row r="655" spans="4:9">
      <c r="D655" s="12"/>
      <c r="H655" s="15"/>
      <c r="I655" s="25"/>
    </row>
    <row r="656" spans="4:9">
      <c r="D656" s="12"/>
      <c r="H656" s="15"/>
      <c r="I656" s="25"/>
    </row>
    <row r="657" spans="4:9">
      <c r="D657" s="12"/>
      <c r="H657" s="15"/>
      <c r="I657" s="25"/>
    </row>
    <row r="658" spans="4:9">
      <c r="D658" s="12"/>
      <c r="H658" s="15"/>
      <c r="I658" s="25"/>
    </row>
    <row r="659" spans="4:9">
      <c r="D659" s="12"/>
      <c r="H659" s="15"/>
      <c r="I659" s="25"/>
    </row>
    <row r="660" spans="4:9">
      <c r="D660" s="12"/>
      <c r="H660" s="15"/>
      <c r="I660" s="25"/>
    </row>
    <row r="661" spans="4:9">
      <c r="D661" s="12"/>
      <c r="H661" s="15"/>
      <c r="I661" s="25"/>
    </row>
    <row r="662" spans="4:9">
      <c r="D662" s="12"/>
      <c r="H662" s="15"/>
      <c r="I662" s="25"/>
    </row>
    <row r="663" spans="4:9">
      <c r="D663" s="12"/>
      <c r="H663" s="15"/>
      <c r="I663" s="25"/>
    </row>
    <row r="664" spans="4:9">
      <c r="D664" s="12"/>
      <c r="H664" s="15"/>
      <c r="I664" s="25"/>
    </row>
    <row r="665" spans="4:9">
      <c r="D665" s="12"/>
      <c r="H665" s="15"/>
      <c r="I665" s="25"/>
    </row>
    <row r="666" spans="4:9">
      <c r="D666" s="12"/>
      <c r="H666" s="15"/>
      <c r="I666" s="25"/>
    </row>
    <row r="667" spans="4:9">
      <c r="D667" s="12"/>
      <c r="H667" s="15"/>
      <c r="I667" s="25"/>
    </row>
    <row r="668" spans="4:9">
      <c r="D668" s="12"/>
      <c r="H668" s="15"/>
      <c r="I668" s="25"/>
    </row>
    <row r="669" spans="4:9">
      <c r="D669" s="12"/>
      <c r="H669" s="15"/>
      <c r="I669" s="25"/>
    </row>
    <row r="670" spans="4:9">
      <c r="D670" s="12"/>
      <c r="H670" s="15"/>
      <c r="I670" s="25"/>
    </row>
    <row r="671" spans="4:9">
      <c r="D671" s="12"/>
      <c r="H671" s="15"/>
      <c r="I671" s="25"/>
    </row>
    <row r="672" spans="4:9">
      <c r="D672" s="12"/>
      <c r="H672" s="15"/>
      <c r="I672" s="25"/>
    </row>
    <row r="673" spans="4:9">
      <c r="D673" s="12"/>
      <c r="H673" s="15"/>
      <c r="I673" s="25"/>
    </row>
    <row r="674" spans="4:9">
      <c r="D674" s="12"/>
      <c r="H674" s="15"/>
      <c r="I674" s="25"/>
    </row>
    <row r="675" spans="4:9">
      <c r="D675" s="12"/>
      <c r="H675" s="15"/>
      <c r="I675" s="25"/>
    </row>
    <row r="676" spans="4:9">
      <c r="D676" s="12"/>
      <c r="H676" s="15"/>
      <c r="I676" s="25"/>
    </row>
    <row r="677" spans="4:9">
      <c r="D677" s="12"/>
      <c r="H677" s="15"/>
      <c r="I677" s="25"/>
    </row>
    <row r="678" spans="4:9">
      <c r="D678" s="12"/>
      <c r="H678" s="15"/>
      <c r="I678" s="25"/>
    </row>
    <row r="679" spans="4:9">
      <c r="D679" s="12"/>
      <c r="H679" s="15"/>
      <c r="I679" s="25"/>
    </row>
    <row r="680" spans="4:9">
      <c r="D680" s="12"/>
      <c r="H680" s="15"/>
      <c r="I680" s="25"/>
    </row>
    <row r="681" spans="4:9">
      <c r="D681" s="12"/>
      <c r="H681" s="15"/>
      <c r="I681" s="25"/>
    </row>
    <row r="682" spans="4:9">
      <c r="D682" s="12"/>
      <c r="H682" s="15"/>
      <c r="I682" s="25"/>
    </row>
    <row r="683" spans="4:9">
      <c r="D683" s="12"/>
      <c r="H683" s="15"/>
      <c r="I683" s="25"/>
    </row>
    <row r="684" spans="4:9">
      <c r="D684" s="12"/>
      <c r="H684" s="15"/>
      <c r="I684" s="25"/>
    </row>
    <row r="685" spans="4:9">
      <c r="D685" s="12"/>
      <c r="H685" s="15"/>
      <c r="I685" s="25"/>
    </row>
    <row r="686" spans="4:9">
      <c r="D686" s="12"/>
      <c r="H686" s="15"/>
      <c r="I686" s="25"/>
    </row>
    <row r="687" spans="4:9">
      <c r="D687" s="12"/>
      <c r="H687" s="15"/>
      <c r="I687" s="25"/>
    </row>
    <row r="688" spans="4:9">
      <c r="D688" s="12"/>
      <c r="H688" s="15"/>
      <c r="I688" s="25"/>
    </row>
    <row r="689" spans="4:9">
      <c r="D689" s="12"/>
      <c r="H689" s="15"/>
      <c r="I689" s="25"/>
    </row>
    <row r="690" spans="4:9">
      <c r="D690" s="12"/>
      <c r="H690" s="15"/>
      <c r="I690" s="25"/>
    </row>
    <row r="691" spans="4:9">
      <c r="D691" s="12"/>
      <c r="H691" s="15"/>
      <c r="I691" s="25"/>
    </row>
    <row r="692" spans="4:9">
      <c r="D692" s="12"/>
      <c r="H692" s="15"/>
      <c r="I692" s="25"/>
    </row>
    <row r="693" spans="4:9">
      <c r="D693" s="12"/>
      <c r="H693" s="15"/>
      <c r="I693" s="25"/>
    </row>
    <row r="694" spans="4:9">
      <c r="D694" s="12"/>
      <c r="H694" s="15"/>
      <c r="I694" s="25"/>
    </row>
    <row r="695" spans="4:9">
      <c r="D695" s="12"/>
      <c r="H695" s="15"/>
      <c r="I695" s="25"/>
    </row>
    <row r="696" spans="4:9">
      <c r="D696" s="12"/>
      <c r="H696" s="15"/>
      <c r="I696" s="25"/>
    </row>
    <row r="697" spans="4:9">
      <c r="D697" s="12"/>
      <c r="H697" s="15"/>
      <c r="I697" s="25"/>
    </row>
    <row r="698" spans="4:9">
      <c r="D698" s="12"/>
      <c r="H698" s="15"/>
      <c r="I698" s="25"/>
    </row>
    <row r="699" spans="4:9">
      <c r="D699" s="12"/>
      <c r="H699" s="15"/>
      <c r="I699" s="25"/>
    </row>
    <row r="700" spans="4:9">
      <c r="D700" s="12"/>
      <c r="H700" s="15"/>
      <c r="I700" s="25"/>
    </row>
    <row r="701" spans="4:9">
      <c r="D701" s="12"/>
      <c r="H701" s="15"/>
      <c r="I701" s="25"/>
    </row>
    <row r="702" spans="4:9">
      <c r="D702" s="12"/>
      <c r="H702" s="15"/>
      <c r="I702" s="25"/>
    </row>
    <row r="703" spans="4:9">
      <c r="D703" s="12"/>
      <c r="H703" s="15"/>
      <c r="I703" s="25"/>
    </row>
    <row r="704" spans="4:9">
      <c r="D704" s="12"/>
      <c r="H704" s="15"/>
      <c r="I704" s="25"/>
    </row>
    <row r="705" spans="4:9">
      <c r="D705" s="12"/>
      <c r="H705" s="15"/>
      <c r="I705" s="25"/>
    </row>
    <row r="706" spans="4:9">
      <c r="D706" s="12"/>
      <c r="H706" s="15"/>
      <c r="I706" s="25"/>
    </row>
    <row r="707" spans="4:9">
      <c r="D707" s="12"/>
      <c r="H707" s="15"/>
      <c r="I707" s="25"/>
    </row>
    <row r="708" spans="4:9">
      <c r="D708" s="12"/>
      <c r="H708" s="15"/>
      <c r="I708" s="25"/>
    </row>
    <row r="709" spans="4:9">
      <c r="D709" s="12"/>
      <c r="H709" s="15"/>
      <c r="I709" s="25"/>
    </row>
    <row r="710" spans="4:9">
      <c r="D710" s="12"/>
      <c r="H710" s="15"/>
      <c r="I710" s="25"/>
    </row>
    <row r="711" spans="4:9">
      <c r="D711" s="12"/>
      <c r="H711" s="15"/>
      <c r="I711" s="25"/>
    </row>
    <row r="712" spans="4:9">
      <c r="D712" s="12"/>
      <c r="H712" s="15"/>
      <c r="I712" s="25"/>
    </row>
    <row r="713" spans="4:9">
      <c r="D713" s="12"/>
      <c r="H713" s="15"/>
      <c r="I713" s="25"/>
    </row>
    <row r="714" spans="4:9">
      <c r="D714" s="12"/>
      <c r="H714" s="15"/>
      <c r="I714" s="25"/>
    </row>
    <row r="715" spans="4:9">
      <c r="D715" s="12"/>
      <c r="H715" s="15"/>
      <c r="I715" s="25"/>
    </row>
    <row r="716" spans="4:9">
      <c r="D716" s="12"/>
      <c r="H716" s="15"/>
      <c r="I716" s="25"/>
    </row>
    <row r="717" spans="4:9">
      <c r="D717" s="12"/>
      <c r="H717" s="15"/>
      <c r="I717" s="25"/>
    </row>
    <row r="718" spans="4:9">
      <c r="D718" s="12"/>
      <c r="H718" s="15"/>
      <c r="I718" s="25"/>
    </row>
    <row r="719" spans="4:9">
      <c r="D719" s="12"/>
      <c r="H719" s="15"/>
      <c r="I719" s="25"/>
    </row>
  </sheetData>
  <autoFilter ref="B3:AF3" xr:uid="{00000000-0009-0000-0000-000003000000}"/>
  <conditionalFormatting sqref="I3:I38">
    <cfRule type="cellIs" dxfId="27" priority="12" operator="equal">
      <formula>"OK but improveable"</formula>
    </cfRule>
    <cfRule type="containsText" dxfId="26" priority="13" operator="containsText" text="Not tested, not relevant, but should be ok">
      <formula>NOT(ISERROR(SEARCH(("Not tested, not relevant, but should be ok"),(I3))))</formula>
    </cfRule>
    <cfRule type="cellIs" dxfId="25" priority="14" operator="equal">
      <formula>"not working but not relvant"</formula>
    </cfRule>
  </conditionalFormatting>
  <conditionalFormatting sqref="I4:I38">
    <cfRule type="cellIs" dxfId="24" priority="1" operator="equal">
      <formula>"OK"</formula>
    </cfRule>
    <cfRule type="cellIs" dxfId="23" priority="2" operator="equal">
      <formula>"Working but not fully tested"</formula>
    </cfRule>
    <cfRule type="cellIs" dxfId="22" priority="3" operator="equal">
      <formula>"random issues"</formula>
    </cfRule>
    <cfRule type="cellIs" dxfId="21" priority="4" operator="equal">
      <formula>"not working"</formula>
    </cfRule>
    <cfRule type="cellIs" dxfId="20" priority="5" operator="equal">
      <formula>"solvable issue"</formula>
    </cfRule>
    <cfRule type="cellIs" dxfId="19" priority="6" operator="equal">
      <formula>"repeatable issue"</formula>
    </cfRule>
    <cfRule type="cellIs" dxfId="18" priority="7" operator="equal">
      <formula>"OOR-Test OK"</formula>
    </cfRule>
    <cfRule type="cellIs" dxfId="17" priority="8" operator="equal">
      <formula>"not measured, but should be ok"</formula>
    </cfRule>
    <cfRule type="cellIs" dxfId="16" priority="9" operator="equal">
      <formula>"tested but inaccurate"</formula>
    </cfRule>
    <cfRule type="cellIs" dxfId="15" priority="10" operator="equal">
      <formula>"tested but inaccurate, not important"</formula>
    </cfRule>
    <cfRule type="cellIs" dxfId="14" priority="11" operator="equal">
      <formula>"OK, preliminary"</formula>
    </cfRule>
  </conditionalFormatting>
  <dataValidations count="1">
    <dataValidation type="list" allowBlank="1" sqref="I4:I38" xr:uid="{00000000-0002-0000-0300-000000000000}">
      <formula1>"OK,OK but improveable,Working but not fully tested,OK, improveable,  doesn't matter,solvable issue,repeatable issue,random issues,not working,Not tested, not relevant, but should be ok,Not tested yet,not working but not relvant,not measured, but should be"&amp;" ok,tested but inaccurate,tested but inaccurate, not important,OK, preliminary"</formula1>
    </dataValidation>
  </dataValidations>
  <printOptions horizontalCentered="1" gridLines="1"/>
  <pageMargins left="0.7" right="0.7" top="0.75" bottom="0.75" header="0" footer="0"/>
  <pageSetup paperSize="9" scale="55"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F719"/>
  <sheetViews>
    <sheetView workbookViewId="0">
      <selection activeCell="B9" sqref="B9"/>
    </sheetView>
  </sheetViews>
  <sheetFormatPr defaultColWidth="12.7109375" defaultRowHeight="15.75" customHeight="1"/>
  <cols>
    <col min="1" max="1" width="8" customWidth="1"/>
    <col min="2" max="2" width="34.7109375" customWidth="1"/>
    <col min="3" max="3" width="47.28515625" customWidth="1"/>
    <col min="4" max="4" width="12.42578125" customWidth="1"/>
    <col min="5" max="7" width="6.7109375" customWidth="1"/>
    <col min="9" max="9" width="30.42578125" customWidth="1"/>
    <col min="10" max="10" width="27.7109375" customWidth="1"/>
    <col min="11" max="11" width="13.140625" customWidth="1"/>
    <col min="20" max="20" width="14.7109375" customWidth="1"/>
    <col min="25" max="25" width="15.28515625" customWidth="1"/>
    <col min="26" max="26" width="16" customWidth="1"/>
  </cols>
  <sheetData>
    <row r="1" spans="1:32">
      <c r="A1" s="11" t="s">
        <v>402</v>
      </c>
      <c r="B1" s="11"/>
      <c r="C1" s="3"/>
      <c r="D1" s="12"/>
      <c r="E1" s="3"/>
      <c r="F1" s="3"/>
      <c r="G1" s="3"/>
      <c r="H1" s="13"/>
      <c r="I1" s="3"/>
      <c r="J1" s="13"/>
    </row>
    <row r="2" spans="1:32">
      <c r="A2" s="11"/>
      <c r="B2" s="11" t="s">
        <v>11</v>
      </c>
      <c r="C2" s="3" t="s">
        <v>12</v>
      </c>
      <c r="D2" s="12" t="s">
        <v>13</v>
      </c>
      <c r="E2" s="3">
        <f>COUNTA(I4:I38)</f>
        <v>0</v>
      </c>
      <c r="F2" s="3" t="s">
        <v>14</v>
      </c>
      <c r="G2" s="3">
        <f>(38-3)</f>
        <v>35</v>
      </c>
      <c r="H2" s="13">
        <f>E2/G2</f>
        <v>0</v>
      </c>
      <c r="I2" s="3" t="s">
        <v>15</v>
      </c>
      <c r="J2" s="13"/>
    </row>
    <row r="3" spans="1:32">
      <c r="A3" s="11" t="s">
        <v>16</v>
      </c>
      <c r="B3" s="3" t="s">
        <v>17</v>
      </c>
      <c r="C3" s="3" t="s">
        <v>18</v>
      </c>
      <c r="D3" s="14" t="s">
        <v>19</v>
      </c>
      <c r="E3" s="3" t="s">
        <v>20</v>
      </c>
      <c r="H3" s="15" t="s">
        <v>21</v>
      </c>
      <c r="I3" s="3" t="s">
        <v>22</v>
      </c>
      <c r="J3" s="3" t="s">
        <v>23</v>
      </c>
    </row>
    <row r="4" spans="1:32">
      <c r="A4" s="16" t="s">
        <v>24</v>
      </c>
      <c r="B4" s="16" t="s">
        <v>25</v>
      </c>
      <c r="C4" s="16" t="s">
        <v>26</v>
      </c>
      <c r="D4" s="16"/>
      <c r="E4" s="16" t="s">
        <v>27</v>
      </c>
      <c r="F4" s="16"/>
      <c r="G4" s="16"/>
      <c r="H4" s="56"/>
      <c r="I4" s="3"/>
      <c r="J4" s="16"/>
      <c r="K4" s="16"/>
      <c r="L4" s="16"/>
      <c r="M4" s="16"/>
      <c r="N4" s="16"/>
      <c r="O4" s="16"/>
      <c r="P4" s="16"/>
      <c r="Q4" s="16"/>
      <c r="R4" s="16"/>
      <c r="S4" s="16"/>
      <c r="T4" s="16"/>
      <c r="U4" s="16"/>
      <c r="V4" s="16"/>
      <c r="W4" s="16"/>
      <c r="X4" s="16"/>
      <c r="Y4" s="16"/>
      <c r="Z4" s="16"/>
      <c r="AA4" s="16"/>
      <c r="AB4" s="16"/>
      <c r="AC4" s="16"/>
      <c r="AD4" s="16"/>
      <c r="AE4" s="16"/>
      <c r="AF4" s="16"/>
    </row>
    <row r="5" spans="1:32" ht="24">
      <c r="A5" s="16" t="s">
        <v>24</v>
      </c>
      <c r="B5" s="16" t="s">
        <v>25</v>
      </c>
      <c r="C5" s="392" t="s">
        <v>404</v>
      </c>
      <c r="D5" s="16"/>
      <c r="E5" s="16" t="s">
        <v>36</v>
      </c>
      <c r="F5" s="16"/>
      <c r="G5" s="16"/>
      <c r="H5" s="56"/>
      <c r="I5" s="3"/>
      <c r="J5" s="16"/>
      <c r="K5" s="16"/>
      <c r="L5" s="16"/>
      <c r="M5" s="16"/>
      <c r="N5" s="16"/>
      <c r="O5" s="16"/>
      <c r="P5" s="16"/>
      <c r="Q5" s="16"/>
      <c r="R5" s="16"/>
      <c r="S5" s="16"/>
      <c r="T5" s="16"/>
      <c r="U5" s="16"/>
      <c r="V5" s="16"/>
      <c r="W5" s="16"/>
      <c r="X5" s="16"/>
      <c r="Y5" s="16"/>
      <c r="Z5" s="16"/>
      <c r="AA5" s="16"/>
      <c r="AB5" s="16"/>
      <c r="AC5" s="16"/>
      <c r="AD5" s="16"/>
      <c r="AE5" s="16"/>
      <c r="AF5" s="16"/>
    </row>
    <row r="6" spans="1:32">
      <c r="A6" s="16" t="s">
        <v>24</v>
      </c>
      <c r="B6" s="16" t="s">
        <v>25</v>
      </c>
      <c r="C6" s="16" t="s">
        <v>400</v>
      </c>
      <c r="D6" s="16"/>
      <c r="E6" s="16" t="s">
        <v>36</v>
      </c>
      <c r="F6" s="16"/>
      <c r="G6" s="16"/>
      <c r="H6" s="56"/>
      <c r="I6" s="3"/>
      <c r="J6" s="16"/>
      <c r="K6" s="16"/>
      <c r="L6" s="16"/>
      <c r="M6" s="16"/>
      <c r="N6" s="16"/>
      <c r="O6" s="16"/>
      <c r="P6" s="16"/>
      <c r="Q6" s="16"/>
      <c r="R6" s="16"/>
      <c r="S6" s="16"/>
      <c r="T6" s="16"/>
      <c r="U6" s="16"/>
      <c r="V6" s="16"/>
      <c r="W6" s="16"/>
      <c r="X6" s="16"/>
      <c r="Y6" s="16"/>
      <c r="Z6" s="16"/>
      <c r="AA6" s="16"/>
      <c r="AB6" s="16"/>
      <c r="AC6" s="16"/>
      <c r="AD6" s="16"/>
      <c r="AE6" s="16"/>
      <c r="AF6" s="16"/>
    </row>
    <row r="7" spans="1:32">
      <c r="A7" s="16" t="s">
        <v>24</v>
      </c>
      <c r="B7" s="16" t="s">
        <v>25</v>
      </c>
      <c r="C7" s="16" t="s">
        <v>44</v>
      </c>
      <c r="D7" s="16"/>
      <c r="E7" s="16" t="s">
        <v>36</v>
      </c>
      <c r="F7" s="16"/>
      <c r="G7" s="16"/>
      <c r="H7" s="56"/>
      <c r="I7" s="3"/>
      <c r="J7" s="16"/>
      <c r="K7" s="16"/>
      <c r="L7" s="16"/>
      <c r="M7" s="16"/>
      <c r="N7" s="16"/>
      <c r="O7" s="16"/>
      <c r="P7" s="16"/>
      <c r="Q7" s="16"/>
      <c r="R7" s="16"/>
      <c r="S7" s="16"/>
      <c r="T7" s="16"/>
      <c r="U7" s="16"/>
      <c r="V7" s="16"/>
      <c r="W7" s="16"/>
      <c r="X7" s="16"/>
      <c r="Y7" s="16"/>
      <c r="Z7" s="16"/>
      <c r="AA7" s="16"/>
      <c r="AB7" s="16"/>
      <c r="AC7" s="16"/>
      <c r="AD7" s="16"/>
      <c r="AE7" s="16"/>
      <c r="AF7" s="16"/>
    </row>
    <row r="8" spans="1:32">
      <c r="A8" s="16" t="s">
        <v>24</v>
      </c>
      <c r="B8" s="16" t="s">
        <v>45</v>
      </c>
      <c r="C8" s="16" t="s">
        <v>401</v>
      </c>
      <c r="D8" s="16"/>
      <c r="E8" s="16" t="s">
        <v>47</v>
      </c>
      <c r="F8" s="16"/>
      <c r="G8" s="16"/>
      <c r="H8" s="56"/>
      <c r="I8" s="3"/>
      <c r="J8" s="16"/>
      <c r="K8" s="16"/>
      <c r="L8" s="16"/>
      <c r="M8" s="16"/>
      <c r="N8" s="16"/>
      <c r="O8" s="16"/>
      <c r="P8" s="16"/>
      <c r="Q8" s="16"/>
      <c r="R8" s="16"/>
      <c r="S8" s="16"/>
      <c r="T8" s="16"/>
      <c r="U8" s="16"/>
      <c r="V8" s="16"/>
      <c r="W8" s="16"/>
      <c r="X8" s="16"/>
      <c r="Y8" s="16"/>
      <c r="Z8" s="16"/>
      <c r="AA8" s="16"/>
      <c r="AB8" s="16"/>
      <c r="AC8" s="16"/>
      <c r="AD8" s="16"/>
      <c r="AE8" s="16"/>
      <c r="AF8" s="16"/>
    </row>
    <row r="9" spans="1:32">
      <c r="A9" s="16" t="s">
        <v>24</v>
      </c>
      <c r="B9" s="16" t="s">
        <v>63</v>
      </c>
      <c r="C9" s="16" t="s">
        <v>405</v>
      </c>
      <c r="D9" s="16"/>
      <c r="E9" s="16" t="s">
        <v>27</v>
      </c>
      <c r="F9" s="16"/>
      <c r="G9" s="16"/>
      <c r="H9" s="56"/>
      <c r="I9" s="3"/>
      <c r="J9" s="16"/>
      <c r="K9" s="16"/>
      <c r="L9" s="16"/>
      <c r="M9" s="16"/>
      <c r="N9" s="16"/>
      <c r="O9" s="16"/>
      <c r="P9" s="16"/>
      <c r="Q9" s="16"/>
      <c r="R9" s="16"/>
      <c r="S9" s="16"/>
      <c r="T9" s="16"/>
      <c r="U9" s="16"/>
      <c r="V9" s="16"/>
      <c r="W9" s="16"/>
      <c r="X9" s="16"/>
      <c r="Y9" s="16"/>
      <c r="Z9" s="16"/>
      <c r="AA9" s="16"/>
      <c r="AB9" s="16"/>
      <c r="AC9" s="16"/>
      <c r="AD9" s="16"/>
      <c r="AE9" s="16"/>
      <c r="AF9" s="16"/>
    </row>
    <row r="10" spans="1:32">
      <c r="A10" s="16" t="s">
        <v>24</v>
      </c>
      <c r="B10" s="16" t="s">
        <v>65</v>
      </c>
      <c r="C10" s="16" t="s">
        <v>406</v>
      </c>
      <c r="D10" s="16"/>
      <c r="E10" s="16" t="s">
        <v>27</v>
      </c>
      <c r="F10" s="16"/>
      <c r="G10" s="16"/>
      <c r="H10" s="56"/>
      <c r="I10" s="3"/>
      <c r="J10" s="16"/>
      <c r="K10" s="16"/>
      <c r="L10" s="16"/>
      <c r="M10" s="16"/>
      <c r="N10" s="16"/>
      <c r="O10" s="16"/>
      <c r="P10" s="16"/>
      <c r="Q10" s="16"/>
      <c r="R10" s="16"/>
      <c r="S10" s="16"/>
      <c r="T10" s="16"/>
      <c r="U10" s="16"/>
      <c r="V10" s="16"/>
      <c r="W10" s="16"/>
      <c r="X10" s="16"/>
      <c r="Y10" s="16"/>
      <c r="Z10" s="16"/>
      <c r="AA10" s="16"/>
      <c r="AB10" s="16"/>
      <c r="AC10" s="16"/>
      <c r="AD10" s="16"/>
      <c r="AE10" s="16"/>
      <c r="AF10" s="16"/>
    </row>
    <row r="11" spans="1:32">
      <c r="A11" s="16" t="s">
        <v>24</v>
      </c>
      <c r="B11" s="16" t="s">
        <v>67</v>
      </c>
      <c r="C11" s="16" t="s">
        <v>405</v>
      </c>
      <c r="D11" s="16"/>
      <c r="E11" s="16" t="s">
        <v>27</v>
      </c>
      <c r="F11" s="16"/>
      <c r="G11" s="16"/>
      <c r="H11" s="56"/>
      <c r="I11" s="3"/>
      <c r="J11" s="16"/>
      <c r="K11" s="16"/>
      <c r="L11" s="16"/>
      <c r="M11" s="16"/>
      <c r="N11" s="16"/>
      <c r="O11" s="16"/>
      <c r="P11" s="16"/>
      <c r="Q11" s="16"/>
      <c r="R11" s="16"/>
      <c r="S11" s="16"/>
      <c r="T11" s="16"/>
      <c r="U11" s="16"/>
      <c r="V11" s="16"/>
      <c r="W11" s="16"/>
      <c r="X11" s="16"/>
      <c r="Y11" s="16"/>
      <c r="Z11" s="16"/>
      <c r="AA11" s="16"/>
      <c r="AB11" s="16"/>
      <c r="AC11" s="16"/>
      <c r="AD11" s="16"/>
      <c r="AE11" s="16"/>
      <c r="AF11" s="16"/>
    </row>
    <row r="12" spans="1:32">
      <c r="A12" s="16" t="s">
        <v>24</v>
      </c>
      <c r="B12" s="16" t="s">
        <v>68</v>
      </c>
      <c r="C12" s="16" t="s">
        <v>405</v>
      </c>
      <c r="D12" s="16"/>
      <c r="E12" s="16" t="s">
        <v>27</v>
      </c>
      <c r="F12" s="16"/>
      <c r="G12" s="16"/>
      <c r="H12" s="56"/>
      <c r="I12" s="3"/>
      <c r="J12" s="16"/>
      <c r="K12" s="16"/>
      <c r="L12" s="16"/>
      <c r="M12" s="16"/>
      <c r="N12" s="16"/>
      <c r="O12" s="16"/>
      <c r="P12" s="16"/>
      <c r="Q12" s="16"/>
      <c r="R12" s="16"/>
      <c r="S12" s="16"/>
      <c r="T12" s="16"/>
      <c r="U12" s="16"/>
      <c r="V12" s="16"/>
      <c r="W12" s="16"/>
      <c r="X12" s="16"/>
      <c r="Y12" s="16"/>
      <c r="Z12" s="16"/>
      <c r="AA12" s="16"/>
      <c r="AB12" s="16"/>
      <c r="AC12" s="16"/>
      <c r="AD12" s="16"/>
      <c r="AE12" s="16"/>
      <c r="AF12" s="16"/>
    </row>
    <row r="13" spans="1:32">
      <c r="A13" s="16" t="s">
        <v>24</v>
      </c>
      <c r="B13" s="16" t="s">
        <v>69</v>
      </c>
      <c r="C13" s="16" t="s">
        <v>405</v>
      </c>
      <c r="D13" s="16"/>
      <c r="E13" s="16" t="s">
        <v>27</v>
      </c>
      <c r="F13" s="16"/>
      <c r="G13" s="16"/>
      <c r="H13" s="56"/>
      <c r="I13" s="3"/>
      <c r="J13" s="16"/>
      <c r="K13" s="16"/>
      <c r="L13" s="16"/>
      <c r="M13" s="16"/>
      <c r="N13" s="16"/>
      <c r="O13" s="16"/>
      <c r="P13" s="16"/>
      <c r="Q13" s="16"/>
      <c r="R13" s="16"/>
      <c r="S13" s="16"/>
      <c r="T13" s="16"/>
      <c r="U13" s="16"/>
      <c r="V13" s="16"/>
      <c r="W13" s="16"/>
      <c r="X13" s="16"/>
      <c r="Y13" s="16"/>
      <c r="Z13" s="16"/>
      <c r="AA13" s="16"/>
      <c r="AB13" s="16"/>
      <c r="AC13" s="16"/>
      <c r="AD13" s="16"/>
      <c r="AE13" s="16"/>
      <c r="AF13" s="16"/>
    </row>
    <row r="14" spans="1:32">
      <c r="A14" s="16" t="s">
        <v>24</v>
      </c>
      <c r="B14" s="16" t="s">
        <v>116</v>
      </c>
      <c r="C14" s="16" t="s">
        <v>120</v>
      </c>
      <c r="D14" s="55"/>
      <c r="E14" s="16" t="s">
        <v>36</v>
      </c>
      <c r="F14" s="57"/>
      <c r="G14" s="16"/>
      <c r="H14" s="58"/>
      <c r="I14" s="3"/>
      <c r="J14" s="16"/>
      <c r="K14" s="16"/>
      <c r="L14" s="16"/>
      <c r="M14" s="16"/>
      <c r="N14" s="16"/>
      <c r="O14" s="16"/>
      <c r="P14" s="16"/>
      <c r="Q14" s="16"/>
      <c r="R14" s="16"/>
      <c r="S14" s="16"/>
      <c r="T14" s="16"/>
      <c r="U14" s="16"/>
      <c r="V14" s="16"/>
      <c r="W14" s="16"/>
      <c r="X14" s="16"/>
      <c r="Y14" s="16"/>
      <c r="Z14" s="16"/>
      <c r="AA14" s="16"/>
      <c r="AB14" s="16"/>
      <c r="AC14" s="16"/>
      <c r="AD14" s="16"/>
      <c r="AE14" s="16"/>
      <c r="AF14" s="16"/>
    </row>
    <row r="15" spans="1:32">
      <c r="A15" s="16" t="s">
        <v>24</v>
      </c>
      <c r="B15" s="16" t="s">
        <v>116</v>
      </c>
      <c r="C15" s="16" t="s">
        <v>121</v>
      </c>
      <c r="D15" s="55"/>
      <c r="E15" s="16" t="s">
        <v>36</v>
      </c>
      <c r="F15" s="57"/>
      <c r="G15" s="16"/>
      <c r="H15" s="58"/>
      <c r="I15" s="3"/>
      <c r="J15" s="16"/>
      <c r="K15" s="16"/>
      <c r="L15" s="16"/>
      <c r="M15" s="16"/>
      <c r="N15" s="16"/>
      <c r="O15" s="16"/>
      <c r="P15" s="16"/>
      <c r="Q15" s="16"/>
      <c r="R15" s="16"/>
      <c r="S15" s="16"/>
      <c r="T15" s="16"/>
      <c r="U15" s="16"/>
      <c r="V15" s="16"/>
      <c r="W15" s="16"/>
      <c r="X15" s="16"/>
      <c r="Y15" s="16"/>
      <c r="Z15" s="16"/>
      <c r="AA15" s="16"/>
      <c r="AB15" s="16"/>
      <c r="AC15" s="16"/>
      <c r="AD15" s="16"/>
      <c r="AE15" s="16"/>
      <c r="AF15" s="16"/>
    </row>
    <row r="16" spans="1:32">
      <c r="A16" s="16" t="s">
        <v>24</v>
      </c>
      <c r="B16" s="16" t="s">
        <v>116</v>
      </c>
      <c r="C16" s="16" t="s">
        <v>122</v>
      </c>
      <c r="D16" s="57"/>
      <c r="E16" s="16" t="s">
        <v>36</v>
      </c>
      <c r="F16" s="57"/>
      <c r="G16" s="16"/>
      <c r="H16" s="58"/>
      <c r="I16" s="3"/>
      <c r="J16" s="16"/>
      <c r="K16" s="16"/>
      <c r="L16" s="16"/>
      <c r="M16" s="16"/>
      <c r="N16" s="16"/>
      <c r="O16" s="16"/>
      <c r="P16" s="16"/>
      <c r="Q16" s="16"/>
      <c r="R16" s="16"/>
      <c r="S16" s="16"/>
      <c r="T16" s="16"/>
      <c r="U16" s="16"/>
      <c r="V16" s="16"/>
      <c r="W16" s="16"/>
      <c r="X16" s="16"/>
      <c r="Y16" s="16"/>
      <c r="Z16" s="16"/>
      <c r="AA16" s="16"/>
      <c r="AB16" s="16"/>
      <c r="AC16" s="16"/>
      <c r="AD16" s="16"/>
      <c r="AE16" s="16"/>
      <c r="AF16" s="16"/>
    </row>
    <row r="17" spans="1:32">
      <c r="A17" s="16" t="s">
        <v>24</v>
      </c>
      <c r="B17" s="16" t="s">
        <v>123</v>
      </c>
      <c r="C17" s="16" t="s">
        <v>128</v>
      </c>
      <c r="D17" s="16"/>
      <c r="E17" s="16" t="s">
        <v>125</v>
      </c>
      <c r="F17" s="16"/>
      <c r="G17" s="16"/>
      <c r="H17" s="56"/>
      <c r="I17" s="3"/>
      <c r="J17" s="16"/>
      <c r="K17" s="16"/>
      <c r="L17" s="16"/>
      <c r="M17" s="16"/>
      <c r="N17" s="16"/>
      <c r="O17" s="16"/>
      <c r="P17" s="16"/>
      <c r="Q17" s="16"/>
      <c r="R17" s="16"/>
      <c r="S17" s="16"/>
      <c r="T17" s="16"/>
      <c r="U17" s="16"/>
      <c r="V17" s="16"/>
      <c r="W17" s="16"/>
      <c r="X17" s="16"/>
      <c r="Y17" s="16"/>
      <c r="Z17" s="16"/>
      <c r="AA17" s="16"/>
      <c r="AB17" s="16"/>
      <c r="AC17" s="16"/>
      <c r="AD17" s="16"/>
      <c r="AE17" s="16"/>
      <c r="AF17" s="16"/>
    </row>
    <row r="18" spans="1:32">
      <c r="A18" s="16" t="s">
        <v>24</v>
      </c>
      <c r="B18" s="16" t="s">
        <v>123</v>
      </c>
      <c r="C18" s="16" t="s">
        <v>146</v>
      </c>
      <c r="D18" s="16"/>
      <c r="E18" s="16" t="s">
        <v>125</v>
      </c>
      <c r="F18" s="16"/>
      <c r="G18" s="16"/>
      <c r="H18" s="56"/>
      <c r="I18" s="3"/>
      <c r="J18" s="16"/>
      <c r="K18" s="16"/>
      <c r="L18" s="16"/>
      <c r="M18" s="16"/>
      <c r="N18" s="16"/>
      <c r="O18" s="16"/>
      <c r="P18" s="16"/>
      <c r="Q18" s="16"/>
      <c r="R18" s="16"/>
      <c r="S18" s="16"/>
      <c r="T18" s="16"/>
      <c r="U18" s="16"/>
      <c r="V18" s="16"/>
      <c r="W18" s="16"/>
      <c r="X18" s="16"/>
      <c r="Y18" s="16"/>
      <c r="Z18" s="16"/>
      <c r="AA18" s="16"/>
      <c r="AB18" s="16"/>
      <c r="AC18" s="16"/>
      <c r="AD18" s="16"/>
      <c r="AE18" s="16"/>
      <c r="AF18" s="16"/>
    </row>
    <row r="19" spans="1:32">
      <c r="A19" s="16" t="s">
        <v>24</v>
      </c>
      <c r="B19" s="16" t="s">
        <v>174</v>
      </c>
      <c r="C19" s="16" t="s">
        <v>175</v>
      </c>
      <c r="D19" s="16"/>
      <c r="E19" s="16" t="s">
        <v>27</v>
      </c>
      <c r="F19" s="16"/>
      <c r="G19" s="16"/>
      <c r="H19" s="56"/>
      <c r="I19" s="3"/>
      <c r="J19" s="16"/>
      <c r="K19" s="16"/>
      <c r="L19" s="16"/>
      <c r="M19" s="16"/>
      <c r="N19" s="16"/>
      <c r="O19" s="16"/>
      <c r="P19" s="16"/>
      <c r="Q19" s="16"/>
      <c r="R19" s="16"/>
      <c r="S19" s="16"/>
      <c r="T19" s="16"/>
      <c r="U19" s="16"/>
      <c r="V19" s="16"/>
      <c r="W19" s="16"/>
      <c r="X19" s="16"/>
      <c r="Y19" s="16"/>
      <c r="Z19" s="16"/>
      <c r="AA19" s="16"/>
      <c r="AB19" s="16"/>
      <c r="AC19" s="16"/>
      <c r="AD19" s="16"/>
      <c r="AE19" s="16"/>
      <c r="AF19" s="16"/>
    </row>
    <row r="20" spans="1:32">
      <c r="A20" s="16" t="s">
        <v>24</v>
      </c>
      <c r="B20" s="16" t="s">
        <v>174</v>
      </c>
      <c r="C20" s="16" t="s">
        <v>178</v>
      </c>
      <c r="D20" s="16"/>
      <c r="E20" s="16" t="s">
        <v>27</v>
      </c>
      <c r="F20" s="16"/>
      <c r="G20" s="16"/>
      <c r="H20" s="56"/>
      <c r="I20" s="3"/>
      <c r="J20" s="16"/>
      <c r="K20" s="16"/>
      <c r="L20" s="16"/>
      <c r="M20" s="16"/>
      <c r="N20" s="16"/>
      <c r="O20" s="16"/>
      <c r="P20" s="16"/>
      <c r="Q20" s="16"/>
      <c r="R20" s="16"/>
      <c r="S20" s="16"/>
      <c r="T20" s="16"/>
      <c r="U20" s="16"/>
      <c r="V20" s="16"/>
      <c r="W20" s="16"/>
      <c r="X20" s="16"/>
      <c r="Y20" s="16"/>
      <c r="Z20" s="16"/>
      <c r="AA20" s="16"/>
      <c r="AB20" s="16"/>
      <c r="AC20" s="16"/>
      <c r="AD20" s="16"/>
      <c r="AE20" s="16"/>
      <c r="AF20" s="16"/>
    </row>
    <row r="21" spans="1:32">
      <c r="A21" s="16" t="s">
        <v>24</v>
      </c>
      <c r="B21" s="16" t="s">
        <v>193</v>
      </c>
      <c r="C21" s="16" t="s">
        <v>194</v>
      </c>
      <c r="D21" s="16"/>
      <c r="E21" s="16" t="s">
        <v>27</v>
      </c>
      <c r="F21" s="16"/>
      <c r="G21" s="16"/>
      <c r="H21" s="56"/>
      <c r="I21" s="3"/>
      <c r="J21" s="16"/>
      <c r="K21" s="16"/>
      <c r="L21" s="16"/>
      <c r="M21" s="16"/>
      <c r="N21" s="16"/>
      <c r="O21" s="16"/>
      <c r="P21" s="16"/>
      <c r="Q21" s="16"/>
      <c r="R21" s="16"/>
      <c r="S21" s="16"/>
      <c r="T21" s="16"/>
      <c r="U21" s="16"/>
      <c r="V21" s="16"/>
      <c r="W21" s="16"/>
      <c r="X21" s="16"/>
      <c r="Y21" s="16"/>
      <c r="Z21" s="16"/>
      <c r="AA21" s="16"/>
      <c r="AB21" s="16"/>
      <c r="AC21" s="16"/>
      <c r="AD21" s="16"/>
      <c r="AE21" s="16"/>
      <c r="AF21" s="16"/>
    </row>
    <row r="22" spans="1:32">
      <c r="A22" s="16" t="s">
        <v>24</v>
      </c>
      <c r="B22" s="16" t="s">
        <v>193</v>
      </c>
      <c r="C22" s="16" t="s">
        <v>195</v>
      </c>
      <c r="D22" s="16"/>
      <c r="E22" s="16" t="s">
        <v>27</v>
      </c>
      <c r="F22" s="16"/>
      <c r="G22" s="16"/>
      <c r="H22" s="56"/>
      <c r="I22" s="3"/>
      <c r="J22" s="16"/>
      <c r="K22" s="16"/>
      <c r="L22" s="16"/>
      <c r="M22" s="16"/>
      <c r="N22" s="16"/>
      <c r="O22" s="16"/>
      <c r="P22" s="16"/>
      <c r="Q22" s="16"/>
      <c r="R22" s="16"/>
      <c r="S22" s="16"/>
      <c r="T22" s="16"/>
      <c r="U22" s="16"/>
      <c r="V22" s="16"/>
      <c r="W22" s="16"/>
      <c r="X22" s="16"/>
      <c r="Y22" s="16"/>
      <c r="Z22" s="16"/>
      <c r="AA22" s="16"/>
      <c r="AB22" s="16"/>
      <c r="AC22" s="16"/>
      <c r="AD22" s="16"/>
      <c r="AE22" s="16"/>
      <c r="AF22" s="16"/>
    </row>
    <row r="23" spans="1:32">
      <c r="A23" s="16" t="s">
        <v>24</v>
      </c>
      <c r="B23" s="16" t="s">
        <v>201</v>
      </c>
      <c r="C23" s="16" t="s">
        <v>202</v>
      </c>
      <c r="D23" s="16"/>
      <c r="E23" s="16" t="s">
        <v>27</v>
      </c>
      <c r="F23" s="16"/>
      <c r="G23" s="16"/>
      <c r="H23" s="56"/>
      <c r="I23" s="3"/>
      <c r="J23" s="16"/>
      <c r="K23" s="16"/>
      <c r="L23" s="16"/>
      <c r="M23" s="16"/>
      <c r="N23" s="16"/>
      <c r="O23" s="16"/>
      <c r="P23" s="16"/>
      <c r="Q23" s="16"/>
      <c r="R23" s="16"/>
      <c r="S23" s="16"/>
      <c r="T23" s="16"/>
      <c r="U23" s="16"/>
      <c r="V23" s="16"/>
      <c r="W23" s="16"/>
      <c r="X23" s="16"/>
      <c r="Y23" s="16"/>
      <c r="Z23" s="16"/>
      <c r="AA23" s="16"/>
      <c r="AB23" s="16"/>
      <c r="AC23" s="16"/>
      <c r="AD23" s="16"/>
      <c r="AE23" s="16"/>
      <c r="AF23" s="16"/>
    </row>
    <row r="24" spans="1:32">
      <c r="A24" s="16" t="s">
        <v>24</v>
      </c>
      <c r="B24" s="16" t="s">
        <v>201</v>
      </c>
      <c r="C24" s="16" t="s">
        <v>203</v>
      </c>
      <c r="D24" s="16"/>
      <c r="E24" s="16" t="s">
        <v>27</v>
      </c>
      <c r="F24" s="16"/>
      <c r="G24" s="16"/>
      <c r="H24" s="56"/>
      <c r="I24" s="3"/>
      <c r="J24" s="16"/>
      <c r="K24" s="16"/>
      <c r="L24" s="16"/>
      <c r="M24" s="16"/>
      <c r="N24" s="16"/>
      <c r="O24" s="16"/>
      <c r="P24" s="16"/>
      <c r="Q24" s="16"/>
      <c r="R24" s="16"/>
      <c r="S24" s="16"/>
      <c r="T24" s="16"/>
      <c r="U24" s="16"/>
      <c r="V24" s="16"/>
      <c r="W24" s="16"/>
      <c r="X24" s="16"/>
      <c r="Y24" s="16"/>
      <c r="Z24" s="16"/>
      <c r="AA24" s="16"/>
      <c r="AB24" s="16"/>
      <c r="AC24" s="16"/>
      <c r="AD24" s="16"/>
      <c r="AE24" s="16"/>
      <c r="AF24" s="16"/>
    </row>
    <row r="25" spans="1:32">
      <c r="A25" s="16" t="s">
        <v>24</v>
      </c>
      <c r="B25" s="16" t="s">
        <v>207</v>
      </c>
      <c r="C25" s="16" t="s">
        <v>208</v>
      </c>
      <c r="D25" s="16"/>
      <c r="E25" s="16" t="s">
        <v>209</v>
      </c>
      <c r="F25" s="16"/>
      <c r="G25" s="16"/>
      <c r="H25" s="56"/>
      <c r="I25" s="3"/>
      <c r="J25" s="55"/>
      <c r="K25" s="16"/>
      <c r="L25" s="16"/>
      <c r="M25" s="16"/>
      <c r="N25" s="16"/>
      <c r="O25" s="16"/>
      <c r="P25" s="16"/>
      <c r="Q25" s="16"/>
      <c r="R25" s="16"/>
      <c r="S25" s="16"/>
      <c r="T25" s="16"/>
      <c r="U25" s="16"/>
      <c r="V25" s="16"/>
      <c r="W25" s="16"/>
      <c r="X25" s="16"/>
      <c r="Y25" s="16"/>
      <c r="Z25" s="16"/>
      <c r="AA25" s="16"/>
      <c r="AB25" s="16"/>
      <c r="AC25" s="16"/>
      <c r="AD25" s="16"/>
      <c r="AE25" s="16"/>
      <c r="AF25" s="16"/>
    </row>
    <row r="26" spans="1:32">
      <c r="A26" s="16" t="s">
        <v>24</v>
      </c>
      <c r="B26" s="16" t="s">
        <v>210</v>
      </c>
      <c r="C26" s="16" t="s">
        <v>208</v>
      </c>
      <c r="D26" s="16"/>
      <c r="E26" s="16" t="s">
        <v>209</v>
      </c>
      <c r="F26" s="16"/>
      <c r="G26" s="16"/>
      <c r="H26" s="56"/>
      <c r="I26" s="3"/>
      <c r="J26" s="55"/>
      <c r="K26" s="16"/>
      <c r="L26" s="16"/>
      <c r="M26" s="16"/>
      <c r="N26" s="16"/>
      <c r="O26" s="16"/>
      <c r="P26" s="16"/>
      <c r="Q26" s="16"/>
      <c r="R26" s="16"/>
      <c r="S26" s="16"/>
      <c r="T26" s="16"/>
      <c r="U26" s="16"/>
      <c r="V26" s="16"/>
      <c r="W26" s="16"/>
      <c r="X26" s="16"/>
      <c r="Y26" s="16"/>
      <c r="Z26" s="16"/>
      <c r="AA26" s="16"/>
      <c r="AB26" s="16"/>
      <c r="AC26" s="16"/>
      <c r="AD26" s="16"/>
      <c r="AE26" s="16"/>
      <c r="AF26" s="16"/>
    </row>
    <row r="27" spans="1:32">
      <c r="A27" s="16" t="s">
        <v>24</v>
      </c>
      <c r="B27" s="16" t="s">
        <v>211</v>
      </c>
      <c r="C27" s="16" t="s">
        <v>212</v>
      </c>
      <c r="D27" s="16"/>
      <c r="E27" s="16" t="s">
        <v>209</v>
      </c>
      <c r="F27" s="16"/>
      <c r="G27" s="16"/>
      <c r="H27" s="56"/>
      <c r="I27" s="3"/>
      <c r="J27" s="16"/>
      <c r="K27" s="16"/>
      <c r="L27" s="16"/>
      <c r="M27" s="16"/>
      <c r="N27" s="16"/>
      <c r="O27" s="16"/>
      <c r="P27" s="16"/>
      <c r="Q27" s="16"/>
      <c r="R27" s="16"/>
      <c r="S27" s="16"/>
      <c r="T27" s="16"/>
      <c r="U27" s="16"/>
      <c r="V27" s="16"/>
      <c r="W27" s="16"/>
      <c r="X27" s="16"/>
      <c r="Y27" s="16"/>
      <c r="Z27" s="16"/>
      <c r="AA27" s="16"/>
      <c r="AB27" s="16"/>
      <c r="AC27" s="16"/>
      <c r="AD27" s="16"/>
      <c r="AE27" s="16"/>
      <c r="AF27" s="16"/>
    </row>
    <row r="28" spans="1:32">
      <c r="A28" s="16" t="s">
        <v>24</v>
      </c>
      <c r="B28" s="16" t="s">
        <v>213</v>
      </c>
      <c r="C28" s="16" t="s">
        <v>212</v>
      </c>
      <c r="D28" s="16"/>
      <c r="E28" s="16" t="s">
        <v>209</v>
      </c>
      <c r="F28" s="16"/>
      <c r="G28" s="16"/>
      <c r="H28" s="56"/>
      <c r="I28" s="3"/>
      <c r="J28" s="16"/>
      <c r="K28" s="16"/>
      <c r="L28" s="16"/>
      <c r="M28" s="16"/>
      <c r="N28" s="16"/>
      <c r="O28" s="16"/>
      <c r="P28" s="16"/>
      <c r="Q28" s="16"/>
      <c r="R28" s="16"/>
      <c r="S28" s="16"/>
      <c r="T28" s="16"/>
      <c r="U28" s="16"/>
      <c r="V28" s="16"/>
      <c r="W28" s="16"/>
      <c r="X28" s="16"/>
      <c r="Y28" s="16"/>
      <c r="Z28" s="16"/>
      <c r="AA28" s="16"/>
      <c r="AB28" s="16"/>
      <c r="AC28" s="16"/>
      <c r="AD28" s="16"/>
      <c r="AE28" s="16"/>
      <c r="AF28" s="16"/>
    </row>
    <row r="29" spans="1:32">
      <c r="A29" s="16" t="s">
        <v>24</v>
      </c>
      <c r="B29" s="16" t="s">
        <v>214</v>
      </c>
      <c r="C29" s="16" t="s">
        <v>215</v>
      </c>
      <c r="D29" s="16"/>
      <c r="E29" s="16"/>
      <c r="F29" s="16"/>
      <c r="G29" s="16"/>
      <c r="H29" s="56"/>
      <c r="I29" s="3"/>
      <c r="J29" s="16"/>
      <c r="K29" s="16"/>
      <c r="L29" s="16"/>
      <c r="M29" s="16"/>
      <c r="N29" s="16"/>
      <c r="O29" s="16"/>
      <c r="P29" s="16"/>
      <c r="Q29" s="16"/>
      <c r="R29" s="16"/>
      <c r="S29" s="16"/>
      <c r="T29" s="16"/>
      <c r="U29" s="16"/>
      <c r="V29" s="16"/>
      <c r="W29" s="16"/>
      <c r="X29" s="16"/>
      <c r="Y29" s="16"/>
      <c r="Z29" s="16"/>
      <c r="AA29" s="16"/>
      <c r="AB29" s="16"/>
      <c r="AC29" s="16"/>
      <c r="AD29" s="16"/>
      <c r="AE29" s="16"/>
      <c r="AF29" s="16"/>
    </row>
    <row r="30" spans="1:32">
      <c r="A30" s="16" t="s">
        <v>24</v>
      </c>
      <c r="B30" s="16" t="s">
        <v>230</v>
      </c>
      <c r="C30" s="16" t="s">
        <v>231</v>
      </c>
      <c r="D30" s="16"/>
      <c r="E30" s="16" t="s">
        <v>209</v>
      </c>
      <c r="F30" s="16"/>
      <c r="G30" s="16"/>
      <c r="H30" s="58"/>
      <c r="I30" s="3"/>
      <c r="J30" s="16"/>
      <c r="K30" s="16"/>
      <c r="L30" s="16"/>
      <c r="M30" s="16"/>
      <c r="N30" s="16"/>
      <c r="O30" s="16"/>
      <c r="P30" s="16"/>
      <c r="Q30" s="16"/>
      <c r="R30" s="16"/>
      <c r="S30" s="16"/>
      <c r="T30" s="16"/>
      <c r="U30" s="16"/>
      <c r="V30" s="16"/>
      <c r="W30" s="16"/>
      <c r="X30" s="16"/>
      <c r="Y30" s="16"/>
      <c r="Z30" s="16"/>
      <c r="AA30" s="16"/>
      <c r="AB30" s="16"/>
      <c r="AC30" s="16"/>
      <c r="AD30" s="16"/>
      <c r="AE30" s="16"/>
      <c r="AF30" s="16"/>
    </row>
    <row r="31" spans="1:32">
      <c r="A31" s="16" t="s">
        <v>24</v>
      </c>
      <c r="B31" s="16" t="s">
        <v>242</v>
      </c>
      <c r="C31" s="16" t="s">
        <v>243</v>
      </c>
      <c r="D31" s="16"/>
      <c r="E31" s="16" t="s">
        <v>244</v>
      </c>
      <c r="F31" s="16"/>
      <c r="G31" s="16"/>
      <c r="H31" s="59"/>
      <c r="I31" s="3"/>
      <c r="J31" s="16"/>
      <c r="K31" s="16"/>
      <c r="L31" s="16"/>
      <c r="M31" s="16"/>
      <c r="N31" s="16"/>
      <c r="O31" s="16"/>
      <c r="P31" s="16"/>
      <c r="Q31" s="16"/>
      <c r="R31" s="16"/>
      <c r="S31" s="16"/>
      <c r="T31" s="16"/>
      <c r="U31" s="16"/>
      <c r="V31" s="16"/>
      <c r="W31" s="16"/>
      <c r="X31" s="16"/>
      <c r="Y31" s="16"/>
      <c r="Z31" s="16"/>
      <c r="AA31" s="16"/>
      <c r="AB31" s="16"/>
      <c r="AC31" s="16"/>
      <c r="AD31" s="16"/>
      <c r="AE31" s="16"/>
      <c r="AF31" s="16"/>
    </row>
    <row r="32" spans="1:32">
      <c r="A32" s="16" t="s">
        <v>24</v>
      </c>
      <c r="B32" s="16" t="s">
        <v>245</v>
      </c>
      <c r="C32" s="16" t="s">
        <v>246</v>
      </c>
      <c r="D32" s="16"/>
      <c r="E32" s="16" t="s">
        <v>244</v>
      </c>
      <c r="F32" s="16"/>
      <c r="G32" s="16"/>
      <c r="H32" s="59"/>
      <c r="I32" s="3"/>
      <c r="J32" s="16"/>
      <c r="K32" s="16"/>
      <c r="L32" s="16"/>
      <c r="M32" s="16"/>
      <c r="N32" s="16"/>
      <c r="O32" s="16"/>
      <c r="P32" s="16"/>
      <c r="Q32" s="16"/>
      <c r="R32" s="16"/>
      <c r="S32" s="16"/>
      <c r="T32" s="16"/>
      <c r="U32" s="16"/>
      <c r="V32" s="16"/>
      <c r="W32" s="16"/>
      <c r="X32" s="16"/>
      <c r="Y32" s="16"/>
      <c r="Z32" s="16"/>
      <c r="AA32" s="16"/>
      <c r="AB32" s="16"/>
      <c r="AC32" s="16"/>
      <c r="AD32" s="16"/>
      <c r="AE32" s="16"/>
      <c r="AF32" s="16"/>
    </row>
    <row r="33" spans="1:32">
      <c r="A33" s="16" t="s">
        <v>24</v>
      </c>
      <c r="B33" s="16" t="s">
        <v>245</v>
      </c>
      <c r="C33" s="16" t="s">
        <v>247</v>
      </c>
      <c r="D33" s="16"/>
      <c r="E33" s="16" t="s">
        <v>244</v>
      </c>
      <c r="F33" s="16"/>
      <c r="G33" s="16"/>
      <c r="H33" s="59"/>
      <c r="I33" s="3"/>
      <c r="J33" s="16"/>
      <c r="K33" s="16"/>
      <c r="L33" s="16"/>
      <c r="M33" s="16"/>
      <c r="N33" s="16"/>
      <c r="O33" s="16"/>
      <c r="P33" s="16"/>
      <c r="Q33" s="16"/>
      <c r="R33" s="16"/>
      <c r="S33" s="16"/>
      <c r="T33" s="16"/>
      <c r="U33" s="16"/>
      <c r="V33" s="16"/>
      <c r="W33" s="16"/>
      <c r="X33" s="16"/>
      <c r="Y33" s="16"/>
      <c r="Z33" s="16"/>
      <c r="AA33" s="16"/>
      <c r="AB33" s="16"/>
      <c r="AC33" s="16"/>
      <c r="AD33" s="16"/>
      <c r="AE33" s="16"/>
      <c r="AF33" s="16"/>
    </row>
    <row r="34" spans="1:32">
      <c r="A34" s="16" t="s">
        <v>24</v>
      </c>
      <c r="B34" s="16" t="s">
        <v>249</v>
      </c>
      <c r="C34" s="16" t="s">
        <v>250</v>
      </c>
      <c r="D34" s="16"/>
      <c r="E34" s="16" t="s">
        <v>244</v>
      </c>
      <c r="F34" s="16"/>
      <c r="G34" s="16"/>
      <c r="H34" s="59"/>
      <c r="I34" s="3"/>
      <c r="J34" s="16"/>
      <c r="K34" s="16"/>
      <c r="L34" s="16"/>
      <c r="M34" s="16"/>
      <c r="N34" s="16"/>
      <c r="O34" s="16"/>
      <c r="P34" s="16"/>
      <c r="Q34" s="16"/>
      <c r="R34" s="16"/>
      <c r="S34" s="16"/>
      <c r="T34" s="16"/>
      <c r="U34" s="16"/>
      <c r="V34" s="16"/>
      <c r="W34" s="16"/>
      <c r="X34" s="16"/>
      <c r="Y34" s="16"/>
      <c r="Z34" s="16"/>
      <c r="AA34" s="16"/>
      <c r="AB34" s="16"/>
      <c r="AC34" s="16"/>
      <c r="AD34" s="16"/>
      <c r="AE34" s="16"/>
      <c r="AF34" s="16"/>
    </row>
    <row r="35" spans="1:32">
      <c r="A35" s="16" t="s">
        <v>24</v>
      </c>
      <c r="B35" s="16" t="s">
        <v>251</v>
      </c>
      <c r="C35" s="16" t="s">
        <v>250</v>
      </c>
      <c r="D35" s="16"/>
      <c r="E35" s="16" t="s">
        <v>244</v>
      </c>
      <c r="F35" s="16"/>
      <c r="G35" s="16"/>
      <c r="H35" s="59"/>
      <c r="I35" s="3"/>
      <c r="J35" s="16"/>
      <c r="K35" s="16"/>
      <c r="L35" s="16"/>
      <c r="M35" s="16"/>
      <c r="N35" s="16"/>
      <c r="O35" s="16"/>
      <c r="P35" s="16"/>
      <c r="Q35" s="16"/>
      <c r="R35" s="16"/>
      <c r="S35" s="16"/>
      <c r="T35" s="16"/>
      <c r="U35" s="16"/>
      <c r="V35" s="16"/>
      <c r="W35" s="16"/>
      <c r="X35" s="16"/>
      <c r="Y35" s="16"/>
      <c r="Z35" s="16"/>
      <c r="AA35" s="16"/>
      <c r="AB35" s="16"/>
      <c r="AC35" s="16"/>
      <c r="AD35" s="16"/>
      <c r="AE35" s="16"/>
      <c r="AF35" s="16"/>
    </row>
    <row r="36" spans="1:32">
      <c r="A36" s="16" t="s">
        <v>24</v>
      </c>
      <c r="B36" s="16" t="s">
        <v>252</v>
      </c>
      <c r="C36" s="16" t="s">
        <v>250</v>
      </c>
      <c r="D36" s="16"/>
      <c r="E36" s="16" t="s">
        <v>244</v>
      </c>
      <c r="F36" s="16"/>
      <c r="G36" s="16"/>
      <c r="H36" s="59"/>
      <c r="I36" s="3"/>
      <c r="J36" s="16"/>
      <c r="K36" s="16"/>
      <c r="L36" s="16"/>
      <c r="M36" s="16"/>
      <c r="N36" s="16"/>
      <c r="O36" s="16"/>
      <c r="P36" s="16"/>
      <c r="Q36" s="16"/>
      <c r="R36" s="16"/>
      <c r="S36" s="16"/>
      <c r="T36" s="16"/>
      <c r="U36" s="16"/>
      <c r="V36" s="16"/>
      <c r="W36" s="16"/>
      <c r="X36" s="16"/>
      <c r="Y36" s="16"/>
      <c r="Z36" s="16"/>
      <c r="AA36" s="16"/>
      <c r="AB36" s="16"/>
      <c r="AC36" s="16"/>
      <c r="AD36" s="16"/>
      <c r="AE36" s="16"/>
      <c r="AF36" s="16"/>
    </row>
    <row r="37" spans="1:32">
      <c r="A37" s="16" t="s">
        <v>24</v>
      </c>
      <c r="B37" s="16" t="s">
        <v>253</v>
      </c>
      <c r="C37" s="16" t="s">
        <v>250</v>
      </c>
      <c r="D37" s="16"/>
      <c r="E37" s="16" t="s">
        <v>244</v>
      </c>
      <c r="F37" s="16"/>
      <c r="G37" s="16"/>
      <c r="H37" s="59"/>
      <c r="I37" s="3"/>
      <c r="J37" s="16"/>
      <c r="K37" s="16"/>
      <c r="L37" s="16"/>
      <c r="M37" s="16"/>
      <c r="N37" s="16"/>
      <c r="O37" s="16"/>
      <c r="P37" s="16"/>
      <c r="Q37" s="16"/>
      <c r="R37" s="16"/>
      <c r="S37" s="16"/>
      <c r="T37" s="16"/>
      <c r="U37" s="16"/>
      <c r="V37" s="16"/>
      <c r="W37" s="16"/>
      <c r="X37" s="16"/>
      <c r="Y37" s="16"/>
      <c r="Z37" s="16"/>
      <c r="AA37" s="16"/>
      <c r="AB37" s="16"/>
      <c r="AC37" s="16"/>
      <c r="AD37" s="16"/>
      <c r="AE37" s="16"/>
      <c r="AF37" s="16"/>
    </row>
    <row r="38" spans="1:32">
      <c r="A38" s="16" t="s">
        <v>24</v>
      </c>
      <c r="B38" s="16" t="s">
        <v>304</v>
      </c>
      <c r="C38" s="16" t="s">
        <v>310</v>
      </c>
      <c r="D38" s="60"/>
      <c r="E38" s="16" t="s">
        <v>306</v>
      </c>
      <c r="F38" s="16"/>
      <c r="G38" s="16"/>
      <c r="H38" s="59"/>
      <c r="I38" s="3"/>
      <c r="J38" s="16"/>
      <c r="K38" s="16"/>
      <c r="L38" s="16"/>
      <c r="M38" s="16"/>
      <c r="N38" s="16"/>
      <c r="O38" s="16"/>
      <c r="P38" s="16"/>
      <c r="Q38" s="16"/>
      <c r="R38" s="16"/>
      <c r="S38" s="16"/>
      <c r="T38" s="16"/>
      <c r="U38" s="16"/>
      <c r="V38" s="16"/>
      <c r="W38" s="16"/>
      <c r="X38" s="16"/>
      <c r="Y38" s="16"/>
      <c r="Z38" s="16"/>
      <c r="AA38" s="16"/>
      <c r="AB38" s="16"/>
      <c r="AC38" s="16"/>
      <c r="AD38" s="16"/>
      <c r="AE38" s="16"/>
      <c r="AF38" s="16"/>
    </row>
    <row r="39" spans="1:32">
      <c r="D39" s="12"/>
      <c r="H39" s="15"/>
      <c r="I39" s="25"/>
    </row>
    <row r="40" spans="1:32">
      <c r="D40" s="12"/>
      <c r="H40" s="15"/>
      <c r="I40" s="25"/>
    </row>
    <row r="41" spans="1:32">
      <c r="D41" s="12"/>
      <c r="H41" s="15"/>
      <c r="I41" s="25"/>
    </row>
    <row r="42" spans="1:32">
      <c r="D42" s="12"/>
      <c r="H42" s="15"/>
      <c r="I42" s="25"/>
    </row>
    <row r="43" spans="1:32">
      <c r="D43" s="12"/>
      <c r="H43" s="15"/>
      <c r="I43" s="25"/>
    </row>
    <row r="44" spans="1:32">
      <c r="D44" s="12"/>
      <c r="H44" s="15"/>
      <c r="I44" s="25"/>
    </row>
    <row r="45" spans="1:32">
      <c r="D45" s="12"/>
      <c r="H45" s="15"/>
      <c r="I45" s="25"/>
    </row>
    <row r="46" spans="1:32">
      <c r="D46" s="12"/>
      <c r="H46" s="15"/>
      <c r="I46" s="25"/>
    </row>
    <row r="47" spans="1:32">
      <c r="D47" s="12"/>
      <c r="H47" s="15"/>
      <c r="I47" s="25"/>
    </row>
    <row r="48" spans="1:32">
      <c r="D48" s="12"/>
      <c r="H48" s="15"/>
      <c r="I48" s="25"/>
    </row>
    <row r="49" spans="4:9">
      <c r="D49" s="12"/>
      <c r="H49" s="15"/>
      <c r="I49" s="25"/>
    </row>
    <row r="50" spans="4:9">
      <c r="D50" s="12"/>
      <c r="H50" s="15"/>
      <c r="I50" s="25"/>
    </row>
    <row r="51" spans="4:9">
      <c r="D51" s="12"/>
      <c r="H51" s="15"/>
      <c r="I51" s="25"/>
    </row>
    <row r="52" spans="4:9">
      <c r="D52" s="12"/>
      <c r="H52" s="15"/>
      <c r="I52" s="25"/>
    </row>
    <row r="53" spans="4:9">
      <c r="D53" s="12"/>
      <c r="H53" s="15"/>
      <c r="I53" s="25"/>
    </row>
    <row r="54" spans="4:9">
      <c r="D54" s="12"/>
      <c r="H54" s="15"/>
      <c r="I54" s="25"/>
    </row>
    <row r="55" spans="4:9">
      <c r="D55" s="12"/>
      <c r="H55" s="15"/>
      <c r="I55" s="25"/>
    </row>
    <row r="56" spans="4:9">
      <c r="D56" s="12"/>
      <c r="H56" s="15"/>
      <c r="I56" s="25"/>
    </row>
    <row r="57" spans="4:9">
      <c r="D57" s="12"/>
      <c r="H57" s="15"/>
      <c r="I57" s="25"/>
    </row>
    <row r="58" spans="4:9">
      <c r="D58" s="12"/>
      <c r="H58" s="15"/>
      <c r="I58" s="25"/>
    </row>
    <row r="59" spans="4:9">
      <c r="D59" s="12"/>
      <c r="H59" s="15"/>
      <c r="I59" s="25"/>
    </row>
    <row r="60" spans="4:9">
      <c r="D60" s="12"/>
      <c r="H60" s="15"/>
      <c r="I60" s="25"/>
    </row>
    <row r="61" spans="4:9">
      <c r="D61" s="12"/>
      <c r="H61" s="15"/>
      <c r="I61" s="25"/>
    </row>
    <row r="62" spans="4:9">
      <c r="D62" s="12"/>
      <c r="H62" s="15"/>
      <c r="I62" s="25"/>
    </row>
    <row r="63" spans="4:9">
      <c r="D63" s="12"/>
      <c r="H63" s="15"/>
      <c r="I63" s="25"/>
    </row>
    <row r="64" spans="4:9">
      <c r="D64" s="12"/>
      <c r="H64" s="15"/>
      <c r="I64" s="25"/>
    </row>
    <row r="65" spans="4:9">
      <c r="D65" s="12"/>
      <c r="H65" s="15"/>
      <c r="I65" s="25"/>
    </row>
    <row r="66" spans="4:9">
      <c r="D66" s="12"/>
      <c r="H66" s="15"/>
      <c r="I66" s="25"/>
    </row>
    <row r="67" spans="4:9">
      <c r="D67" s="12"/>
      <c r="H67" s="15"/>
      <c r="I67" s="25"/>
    </row>
    <row r="68" spans="4:9">
      <c r="D68" s="12"/>
      <c r="H68" s="15"/>
      <c r="I68" s="25"/>
    </row>
    <row r="69" spans="4:9">
      <c r="D69" s="12"/>
      <c r="H69" s="15"/>
      <c r="I69" s="25"/>
    </row>
    <row r="70" spans="4:9">
      <c r="D70" s="12"/>
      <c r="H70" s="15"/>
      <c r="I70" s="25"/>
    </row>
    <row r="71" spans="4:9">
      <c r="D71" s="12"/>
      <c r="H71" s="15"/>
      <c r="I71" s="25"/>
    </row>
    <row r="72" spans="4:9">
      <c r="D72" s="12"/>
      <c r="H72" s="15"/>
      <c r="I72" s="25"/>
    </row>
    <row r="73" spans="4:9">
      <c r="D73" s="12"/>
      <c r="H73" s="15"/>
      <c r="I73" s="25"/>
    </row>
    <row r="74" spans="4:9">
      <c r="D74" s="12"/>
      <c r="H74" s="15"/>
      <c r="I74" s="25"/>
    </row>
    <row r="75" spans="4:9">
      <c r="D75" s="12"/>
      <c r="H75" s="15"/>
      <c r="I75" s="25"/>
    </row>
    <row r="76" spans="4:9">
      <c r="D76" s="12"/>
      <c r="H76" s="15"/>
      <c r="I76" s="25"/>
    </row>
    <row r="77" spans="4:9">
      <c r="D77" s="12"/>
      <c r="H77" s="15"/>
      <c r="I77" s="25"/>
    </row>
    <row r="78" spans="4:9">
      <c r="D78" s="12"/>
      <c r="H78" s="15"/>
      <c r="I78" s="25"/>
    </row>
    <row r="79" spans="4:9">
      <c r="D79" s="12"/>
      <c r="H79" s="15"/>
      <c r="I79" s="25"/>
    </row>
    <row r="80" spans="4:9">
      <c r="D80" s="12"/>
      <c r="H80" s="15"/>
      <c r="I80" s="25"/>
    </row>
    <row r="81" spans="4:9">
      <c r="D81" s="12"/>
      <c r="H81" s="15"/>
      <c r="I81" s="25"/>
    </row>
    <row r="82" spans="4:9">
      <c r="D82" s="12"/>
      <c r="H82" s="15"/>
      <c r="I82" s="25"/>
    </row>
    <row r="83" spans="4:9">
      <c r="D83" s="12"/>
      <c r="H83" s="15"/>
      <c r="I83" s="25"/>
    </row>
    <row r="84" spans="4:9">
      <c r="D84" s="12"/>
      <c r="H84" s="15"/>
      <c r="I84" s="25"/>
    </row>
    <row r="85" spans="4:9">
      <c r="D85" s="12"/>
      <c r="H85" s="15"/>
      <c r="I85" s="25"/>
    </row>
    <row r="86" spans="4:9">
      <c r="D86" s="12"/>
      <c r="H86" s="15"/>
      <c r="I86" s="25"/>
    </row>
    <row r="87" spans="4:9">
      <c r="D87" s="12"/>
      <c r="H87" s="15"/>
      <c r="I87" s="25"/>
    </row>
    <row r="88" spans="4:9">
      <c r="D88" s="12"/>
      <c r="H88" s="15"/>
      <c r="I88" s="25"/>
    </row>
    <row r="89" spans="4:9">
      <c r="D89" s="12"/>
      <c r="H89" s="15"/>
      <c r="I89" s="25"/>
    </row>
    <row r="90" spans="4:9">
      <c r="D90" s="12"/>
      <c r="H90" s="15"/>
      <c r="I90" s="25"/>
    </row>
    <row r="91" spans="4:9">
      <c r="D91" s="12"/>
      <c r="H91" s="15"/>
      <c r="I91" s="25"/>
    </row>
    <row r="92" spans="4:9">
      <c r="D92" s="12"/>
      <c r="H92" s="15"/>
      <c r="I92" s="25"/>
    </row>
    <row r="93" spans="4:9">
      <c r="D93" s="12"/>
      <c r="H93" s="15"/>
      <c r="I93" s="25"/>
    </row>
    <row r="94" spans="4:9">
      <c r="D94" s="12"/>
      <c r="H94" s="15"/>
      <c r="I94" s="25"/>
    </row>
    <row r="95" spans="4:9">
      <c r="D95" s="12"/>
      <c r="H95" s="15"/>
      <c r="I95" s="25"/>
    </row>
    <row r="96" spans="4:9">
      <c r="D96" s="12"/>
      <c r="H96" s="15"/>
      <c r="I96" s="25"/>
    </row>
    <row r="97" spans="4:9">
      <c r="D97" s="12"/>
      <c r="H97" s="15"/>
      <c r="I97" s="25"/>
    </row>
    <row r="98" spans="4:9">
      <c r="D98" s="12"/>
      <c r="H98" s="15"/>
      <c r="I98" s="25"/>
    </row>
    <row r="99" spans="4:9">
      <c r="D99" s="12"/>
      <c r="H99" s="15"/>
      <c r="I99" s="25"/>
    </row>
    <row r="100" spans="4:9">
      <c r="D100" s="12"/>
      <c r="H100" s="15"/>
      <c r="I100" s="25"/>
    </row>
    <row r="101" spans="4:9">
      <c r="D101" s="12"/>
      <c r="H101" s="15"/>
      <c r="I101" s="25"/>
    </row>
    <row r="102" spans="4:9">
      <c r="D102" s="12"/>
      <c r="H102" s="15"/>
      <c r="I102" s="25"/>
    </row>
    <row r="103" spans="4:9">
      <c r="D103" s="12"/>
      <c r="H103" s="15"/>
      <c r="I103" s="25"/>
    </row>
    <row r="104" spans="4:9">
      <c r="D104" s="12"/>
      <c r="H104" s="15"/>
      <c r="I104" s="25"/>
    </row>
    <row r="105" spans="4:9">
      <c r="D105" s="12"/>
      <c r="H105" s="15"/>
      <c r="I105" s="25"/>
    </row>
    <row r="106" spans="4:9">
      <c r="D106" s="12"/>
      <c r="H106" s="15"/>
      <c r="I106" s="25"/>
    </row>
    <row r="107" spans="4:9">
      <c r="D107" s="12"/>
      <c r="H107" s="15"/>
      <c r="I107" s="25"/>
    </row>
    <row r="108" spans="4:9">
      <c r="D108" s="12"/>
      <c r="H108" s="15"/>
      <c r="I108" s="25"/>
    </row>
    <row r="109" spans="4:9">
      <c r="D109" s="12"/>
      <c r="H109" s="15"/>
      <c r="I109" s="25"/>
    </row>
    <row r="110" spans="4:9">
      <c r="D110" s="12"/>
      <c r="H110" s="15"/>
      <c r="I110" s="25"/>
    </row>
    <row r="111" spans="4:9">
      <c r="D111" s="12"/>
      <c r="H111" s="15"/>
      <c r="I111" s="25"/>
    </row>
    <row r="112" spans="4:9">
      <c r="D112" s="12"/>
      <c r="H112" s="15"/>
      <c r="I112" s="25"/>
    </row>
    <row r="113" spans="4:9">
      <c r="D113" s="12"/>
      <c r="H113" s="15"/>
      <c r="I113" s="25"/>
    </row>
    <row r="114" spans="4:9">
      <c r="D114" s="12"/>
      <c r="H114" s="15"/>
      <c r="I114" s="25"/>
    </row>
    <row r="115" spans="4:9">
      <c r="D115" s="12"/>
      <c r="H115" s="15"/>
      <c r="I115" s="25"/>
    </row>
    <row r="116" spans="4:9">
      <c r="D116" s="12"/>
      <c r="H116" s="15"/>
      <c r="I116" s="25"/>
    </row>
    <row r="117" spans="4:9">
      <c r="D117" s="12"/>
      <c r="H117" s="15"/>
      <c r="I117" s="25"/>
    </row>
    <row r="118" spans="4:9">
      <c r="D118" s="12"/>
      <c r="H118" s="15"/>
      <c r="I118" s="25"/>
    </row>
    <row r="119" spans="4:9">
      <c r="D119" s="12"/>
      <c r="H119" s="15"/>
      <c r="I119" s="25"/>
    </row>
    <row r="120" spans="4:9">
      <c r="D120" s="12"/>
      <c r="H120" s="15"/>
      <c r="I120" s="25"/>
    </row>
    <row r="121" spans="4:9">
      <c r="D121" s="12"/>
      <c r="H121" s="15"/>
      <c r="I121" s="25"/>
    </row>
    <row r="122" spans="4:9">
      <c r="D122" s="12"/>
      <c r="H122" s="15"/>
      <c r="I122" s="25"/>
    </row>
    <row r="123" spans="4:9">
      <c r="D123" s="12"/>
      <c r="H123" s="15"/>
      <c r="I123" s="25"/>
    </row>
    <row r="124" spans="4:9">
      <c r="D124" s="12"/>
      <c r="H124" s="15"/>
      <c r="I124" s="25"/>
    </row>
    <row r="125" spans="4:9">
      <c r="D125" s="12"/>
      <c r="H125" s="15"/>
      <c r="I125" s="25"/>
    </row>
    <row r="126" spans="4:9">
      <c r="D126" s="12"/>
      <c r="H126" s="15"/>
      <c r="I126" s="25"/>
    </row>
    <row r="127" spans="4:9">
      <c r="D127" s="12"/>
      <c r="H127" s="15"/>
      <c r="I127" s="25"/>
    </row>
    <row r="128" spans="4:9">
      <c r="D128" s="12"/>
      <c r="H128" s="15"/>
      <c r="I128" s="25"/>
    </row>
    <row r="129" spans="4:9">
      <c r="D129" s="12"/>
      <c r="H129" s="15"/>
      <c r="I129" s="25"/>
    </row>
    <row r="130" spans="4:9">
      <c r="D130" s="12"/>
      <c r="H130" s="15"/>
      <c r="I130" s="25"/>
    </row>
    <row r="131" spans="4:9">
      <c r="D131" s="12"/>
      <c r="H131" s="15"/>
      <c r="I131" s="25"/>
    </row>
    <row r="132" spans="4:9">
      <c r="D132" s="12"/>
      <c r="H132" s="15"/>
      <c r="I132" s="25"/>
    </row>
    <row r="133" spans="4:9">
      <c r="D133" s="12"/>
      <c r="H133" s="15"/>
      <c r="I133" s="25"/>
    </row>
    <row r="134" spans="4:9">
      <c r="D134" s="12"/>
      <c r="H134" s="15"/>
      <c r="I134" s="25"/>
    </row>
    <row r="135" spans="4:9">
      <c r="D135" s="12"/>
      <c r="H135" s="15"/>
      <c r="I135" s="25"/>
    </row>
    <row r="136" spans="4:9">
      <c r="D136" s="12"/>
      <c r="H136" s="15"/>
      <c r="I136" s="25"/>
    </row>
    <row r="137" spans="4:9">
      <c r="D137" s="12"/>
      <c r="H137" s="15"/>
      <c r="I137" s="25"/>
    </row>
    <row r="138" spans="4:9">
      <c r="D138" s="12"/>
      <c r="H138" s="15"/>
      <c r="I138" s="25"/>
    </row>
    <row r="139" spans="4:9">
      <c r="D139" s="12"/>
      <c r="H139" s="15"/>
      <c r="I139" s="25"/>
    </row>
    <row r="140" spans="4:9">
      <c r="D140" s="12"/>
      <c r="H140" s="15"/>
      <c r="I140" s="25"/>
    </row>
    <row r="141" spans="4:9">
      <c r="D141" s="12"/>
      <c r="H141" s="15"/>
      <c r="I141" s="25"/>
    </row>
    <row r="142" spans="4:9">
      <c r="D142" s="12"/>
      <c r="H142" s="15"/>
      <c r="I142" s="25"/>
    </row>
    <row r="143" spans="4:9">
      <c r="D143" s="12"/>
      <c r="H143" s="15"/>
      <c r="I143" s="25"/>
    </row>
    <row r="144" spans="4:9">
      <c r="D144" s="12"/>
      <c r="H144" s="15"/>
      <c r="I144" s="25"/>
    </row>
    <row r="145" spans="4:9">
      <c r="D145" s="12"/>
      <c r="H145" s="15"/>
      <c r="I145" s="25"/>
    </row>
    <row r="146" spans="4:9">
      <c r="D146" s="12"/>
      <c r="H146" s="15"/>
      <c r="I146" s="25"/>
    </row>
    <row r="147" spans="4:9">
      <c r="D147" s="12"/>
      <c r="H147" s="15"/>
      <c r="I147" s="25"/>
    </row>
    <row r="148" spans="4:9">
      <c r="D148" s="12"/>
      <c r="H148" s="15"/>
      <c r="I148" s="25"/>
    </row>
    <row r="149" spans="4:9">
      <c r="D149" s="12"/>
      <c r="H149" s="15"/>
      <c r="I149" s="25"/>
    </row>
    <row r="150" spans="4:9">
      <c r="D150" s="12"/>
      <c r="H150" s="15"/>
      <c r="I150" s="25"/>
    </row>
    <row r="151" spans="4:9">
      <c r="D151" s="12"/>
      <c r="H151" s="15"/>
      <c r="I151" s="25"/>
    </row>
    <row r="152" spans="4:9">
      <c r="D152" s="12"/>
      <c r="H152" s="15"/>
      <c r="I152" s="25"/>
    </row>
    <row r="153" spans="4:9">
      <c r="D153" s="12"/>
      <c r="H153" s="15"/>
      <c r="I153" s="25"/>
    </row>
    <row r="154" spans="4:9">
      <c r="D154" s="12"/>
      <c r="H154" s="15"/>
      <c r="I154" s="25"/>
    </row>
    <row r="155" spans="4:9">
      <c r="D155" s="12"/>
      <c r="H155" s="15"/>
      <c r="I155" s="25"/>
    </row>
    <row r="156" spans="4:9">
      <c r="D156" s="12"/>
      <c r="H156" s="15"/>
      <c r="I156" s="25"/>
    </row>
    <row r="157" spans="4:9">
      <c r="D157" s="12"/>
      <c r="H157" s="15"/>
      <c r="I157" s="25"/>
    </row>
    <row r="158" spans="4:9">
      <c r="D158" s="12"/>
      <c r="H158" s="15"/>
      <c r="I158" s="25"/>
    </row>
    <row r="159" spans="4:9">
      <c r="D159" s="12"/>
      <c r="H159" s="15"/>
      <c r="I159" s="25"/>
    </row>
    <row r="160" spans="4:9">
      <c r="D160" s="12"/>
      <c r="H160" s="15"/>
      <c r="I160" s="25"/>
    </row>
    <row r="161" spans="4:9">
      <c r="D161" s="12"/>
      <c r="H161" s="15"/>
      <c r="I161" s="25"/>
    </row>
    <row r="162" spans="4:9">
      <c r="D162" s="12"/>
      <c r="H162" s="15"/>
      <c r="I162" s="25"/>
    </row>
    <row r="163" spans="4:9">
      <c r="D163" s="12"/>
      <c r="H163" s="15"/>
      <c r="I163" s="25"/>
    </row>
    <row r="164" spans="4:9">
      <c r="D164" s="12"/>
      <c r="H164" s="15"/>
      <c r="I164" s="25"/>
    </row>
    <row r="165" spans="4:9">
      <c r="D165" s="12"/>
      <c r="H165" s="15"/>
      <c r="I165" s="25"/>
    </row>
    <row r="166" spans="4:9">
      <c r="D166" s="12"/>
      <c r="H166" s="15"/>
      <c r="I166" s="25"/>
    </row>
    <row r="167" spans="4:9">
      <c r="D167" s="12"/>
      <c r="H167" s="15"/>
      <c r="I167" s="25"/>
    </row>
    <row r="168" spans="4:9">
      <c r="D168" s="12"/>
      <c r="H168" s="15"/>
      <c r="I168" s="25"/>
    </row>
    <row r="169" spans="4:9">
      <c r="D169" s="12"/>
      <c r="H169" s="15"/>
      <c r="I169" s="25"/>
    </row>
    <row r="170" spans="4:9">
      <c r="D170" s="12"/>
      <c r="H170" s="15"/>
      <c r="I170" s="25"/>
    </row>
    <row r="171" spans="4:9">
      <c r="D171" s="12"/>
      <c r="H171" s="15"/>
      <c r="I171" s="25"/>
    </row>
    <row r="172" spans="4:9">
      <c r="D172" s="12"/>
      <c r="H172" s="15"/>
      <c r="I172" s="25"/>
    </row>
    <row r="173" spans="4:9">
      <c r="D173" s="12"/>
      <c r="H173" s="15"/>
      <c r="I173" s="25"/>
    </row>
    <row r="174" spans="4:9">
      <c r="D174" s="12"/>
      <c r="H174" s="15"/>
      <c r="I174" s="25"/>
    </row>
    <row r="175" spans="4:9">
      <c r="D175" s="12"/>
      <c r="H175" s="15"/>
      <c r="I175" s="25"/>
    </row>
    <row r="176" spans="4:9">
      <c r="D176" s="12"/>
      <c r="H176" s="15"/>
      <c r="I176" s="25"/>
    </row>
    <row r="177" spans="4:9">
      <c r="D177" s="12"/>
      <c r="H177" s="15"/>
      <c r="I177" s="25"/>
    </row>
    <row r="178" spans="4:9">
      <c r="D178" s="12"/>
      <c r="H178" s="15"/>
      <c r="I178" s="25"/>
    </row>
    <row r="179" spans="4:9">
      <c r="D179" s="12"/>
      <c r="H179" s="15"/>
      <c r="I179" s="25"/>
    </row>
    <row r="180" spans="4:9">
      <c r="D180" s="12"/>
      <c r="H180" s="15"/>
      <c r="I180" s="25"/>
    </row>
    <row r="181" spans="4:9">
      <c r="D181" s="12"/>
      <c r="H181" s="15"/>
      <c r="I181" s="25"/>
    </row>
    <row r="182" spans="4:9">
      <c r="D182" s="12"/>
      <c r="H182" s="15"/>
      <c r="I182" s="25"/>
    </row>
    <row r="183" spans="4:9">
      <c r="D183" s="12"/>
      <c r="H183" s="15"/>
      <c r="I183" s="25"/>
    </row>
    <row r="184" spans="4:9">
      <c r="D184" s="12"/>
      <c r="H184" s="15"/>
      <c r="I184" s="25"/>
    </row>
    <row r="185" spans="4:9">
      <c r="D185" s="12"/>
      <c r="H185" s="15"/>
      <c r="I185" s="25"/>
    </row>
    <row r="186" spans="4:9">
      <c r="D186" s="12"/>
      <c r="H186" s="15"/>
      <c r="I186" s="25"/>
    </row>
    <row r="187" spans="4:9">
      <c r="D187" s="12"/>
      <c r="H187" s="15"/>
      <c r="I187" s="25"/>
    </row>
    <row r="188" spans="4:9">
      <c r="D188" s="12"/>
      <c r="H188" s="15"/>
      <c r="I188" s="25"/>
    </row>
    <row r="189" spans="4:9">
      <c r="D189" s="12"/>
      <c r="H189" s="15"/>
      <c r="I189" s="25"/>
    </row>
    <row r="190" spans="4:9">
      <c r="D190" s="12"/>
      <c r="H190" s="15"/>
      <c r="I190" s="25"/>
    </row>
    <row r="191" spans="4:9">
      <c r="D191" s="12"/>
      <c r="H191" s="15"/>
      <c r="I191" s="25"/>
    </row>
    <row r="192" spans="4:9">
      <c r="D192" s="12"/>
      <c r="H192" s="15"/>
      <c r="I192" s="25"/>
    </row>
    <row r="193" spans="4:9">
      <c r="D193" s="12"/>
      <c r="H193" s="15"/>
      <c r="I193" s="25"/>
    </row>
    <row r="194" spans="4:9">
      <c r="D194" s="12"/>
      <c r="H194" s="15"/>
      <c r="I194" s="25"/>
    </row>
    <row r="195" spans="4:9">
      <c r="D195" s="12"/>
      <c r="H195" s="15"/>
      <c r="I195" s="25"/>
    </row>
    <row r="196" spans="4:9">
      <c r="D196" s="12"/>
      <c r="H196" s="15"/>
      <c r="I196" s="25"/>
    </row>
    <row r="197" spans="4:9">
      <c r="D197" s="12"/>
      <c r="H197" s="15"/>
      <c r="I197" s="25"/>
    </row>
    <row r="198" spans="4:9">
      <c r="D198" s="12"/>
      <c r="H198" s="15"/>
      <c r="I198" s="25"/>
    </row>
    <row r="199" spans="4:9">
      <c r="D199" s="12"/>
      <c r="H199" s="15"/>
      <c r="I199" s="25"/>
    </row>
    <row r="200" spans="4:9">
      <c r="D200" s="12"/>
      <c r="H200" s="15"/>
      <c r="I200" s="25"/>
    </row>
    <row r="201" spans="4:9">
      <c r="D201" s="12"/>
      <c r="H201" s="15"/>
      <c r="I201" s="25"/>
    </row>
    <row r="202" spans="4:9">
      <c r="D202" s="12"/>
      <c r="H202" s="15"/>
      <c r="I202" s="25"/>
    </row>
    <row r="203" spans="4:9">
      <c r="D203" s="12"/>
      <c r="H203" s="15"/>
      <c r="I203" s="25"/>
    </row>
    <row r="204" spans="4:9">
      <c r="D204" s="12"/>
      <c r="H204" s="15"/>
      <c r="I204" s="25"/>
    </row>
    <row r="205" spans="4:9">
      <c r="D205" s="12"/>
      <c r="H205" s="15"/>
      <c r="I205" s="25"/>
    </row>
    <row r="206" spans="4:9">
      <c r="D206" s="12"/>
      <c r="H206" s="15"/>
      <c r="I206" s="25"/>
    </row>
    <row r="207" spans="4:9">
      <c r="D207" s="12"/>
      <c r="H207" s="15"/>
      <c r="I207" s="25"/>
    </row>
    <row r="208" spans="4:9">
      <c r="D208" s="12"/>
      <c r="H208" s="15"/>
      <c r="I208" s="25"/>
    </row>
    <row r="209" spans="4:9">
      <c r="D209" s="12"/>
      <c r="H209" s="15"/>
      <c r="I209" s="25"/>
    </row>
    <row r="210" spans="4:9">
      <c r="D210" s="12"/>
      <c r="H210" s="15"/>
      <c r="I210" s="25"/>
    </row>
    <row r="211" spans="4:9">
      <c r="D211" s="12"/>
      <c r="H211" s="15"/>
      <c r="I211" s="25"/>
    </row>
    <row r="212" spans="4:9">
      <c r="D212" s="12"/>
      <c r="H212" s="15"/>
      <c r="I212" s="25"/>
    </row>
    <row r="213" spans="4:9">
      <c r="D213" s="12"/>
      <c r="H213" s="15"/>
      <c r="I213" s="25"/>
    </row>
    <row r="214" spans="4:9">
      <c r="D214" s="12"/>
      <c r="H214" s="15"/>
      <c r="I214" s="25"/>
    </row>
    <row r="215" spans="4:9">
      <c r="D215" s="12"/>
      <c r="H215" s="15"/>
      <c r="I215" s="25"/>
    </row>
    <row r="216" spans="4:9">
      <c r="D216" s="12"/>
      <c r="H216" s="15"/>
      <c r="I216" s="25"/>
    </row>
    <row r="217" spans="4:9">
      <c r="D217" s="12"/>
      <c r="H217" s="15"/>
      <c r="I217" s="25"/>
    </row>
    <row r="218" spans="4:9">
      <c r="D218" s="12"/>
      <c r="H218" s="15"/>
      <c r="I218" s="25"/>
    </row>
    <row r="219" spans="4:9">
      <c r="D219" s="12"/>
      <c r="H219" s="15"/>
      <c r="I219" s="25"/>
    </row>
    <row r="220" spans="4:9">
      <c r="D220" s="12"/>
      <c r="H220" s="15"/>
      <c r="I220" s="25"/>
    </row>
    <row r="221" spans="4:9">
      <c r="D221" s="12"/>
      <c r="H221" s="15"/>
      <c r="I221" s="25"/>
    </row>
    <row r="222" spans="4:9">
      <c r="D222" s="12"/>
      <c r="H222" s="15"/>
      <c r="I222" s="25"/>
    </row>
    <row r="223" spans="4:9">
      <c r="D223" s="12"/>
      <c r="H223" s="15"/>
      <c r="I223" s="25"/>
    </row>
    <row r="224" spans="4:9">
      <c r="D224" s="12"/>
      <c r="H224" s="15"/>
      <c r="I224" s="25"/>
    </row>
    <row r="225" spans="4:9">
      <c r="D225" s="12"/>
      <c r="H225" s="15"/>
      <c r="I225" s="25"/>
    </row>
    <row r="226" spans="4:9">
      <c r="D226" s="12"/>
      <c r="H226" s="15"/>
      <c r="I226" s="25"/>
    </row>
    <row r="227" spans="4:9">
      <c r="D227" s="12"/>
      <c r="H227" s="15"/>
      <c r="I227" s="25"/>
    </row>
    <row r="228" spans="4:9">
      <c r="D228" s="12"/>
      <c r="H228" s="15"/>
      <c r="I228" s="25"/>
    </row>
    <row r="229" spans="4:9">
      <c r="D229" s="12"/>
      <c r="H229" s="15"/>
      <c r="I229" s="25"/>
    </row>
    <row r="230" spans="4:9">
      <c r="D230" s="12"/>
      <c r="H230" s="15"/>
      <c r="I230" s="25"/>
    </row>
    <row r="231" spans="4:9">
      <c r="D231" s="12"/>
      <c r="H231" s="15"/>
      <c r="I231" s="25"/>
    </row>
    <row r="232" spans="4:9">
      <c r="D232" s="12"/>
      <c r="H232" s="15"/>
      <c r="I232" s="25"/>
    </row>
    <row r="233" spans="4:9">
      <c r="D233" s="12"/>
      <c r="H233" s="15"/>
      <c r="I233" s="25"/>
    </row>
    <row r="234" spans="4:9">
      <c r="D234" s="12"/>
      <c r="H234" s="15"/>
      <c r="I234" s="25"/>
    </row>
    <row r="235" spans="4:9">
      <c r="D235" s="12"/>
      <c r="H235" s="15"/>
      <c r="I235" s="25"/>
    </row>
    <row r="236" spans="4:9">
      <c r="D236" s="12"/>
      <c r="H236" s="15"/>
      <c r="I236" s="25"/>
    </row>
    <row r="237" spans="4:9">
      <c r="D237" s="12"/>
      <c r="H237" s="15"/>
      <c r="I237" s="25"/>
    </row>
    <row r="238" spans="4:9">
      <c r="D238" s="12"/>
      <c r="H238" s="15"/>
      <c r="I238" s="25"/>
    </row>
    <row r="239" spans="4:9">
      <c r="D239" s="12"/>
      <c r="H239" s="15"/>
      <c r="I239" s="25"/>
    </row>
    <row r="240" spans="4:9">
      <c r="D240" s="12"/>
      <c r="H240" s="15"/>
      <c r="I240" s="25"/>
    </row>
    <row r="241" spans="4:9">
      <c r="D241" s="12"/>
      <c r="H241" s="15"/>
      <c r="I241" s="25"/>
    </row>
    <row r="242" spans="4:9">
      <c r="D242" s="12"/>
      <c r="H242" s="15"/>
      <c r="I242" s="25"/>
    </row>
    <row r="243" spans="4:9">
      <c r="D243" s="12"/>
      <c r="H243" s="15"/>
      <c r="I243" s="25"/>
    </row>
    <row r="244" spans="4:9">
      <c r="D244" s="12"/>
      <c r="H244" s="15"/>
      <c r="I244" s="25"/>
    </row>
    <row r="245" spans="4:9">
      <c r="D245" s="12"/>
      <c r="H245" s="15"/>
      <c r="I245" s="25"/>
    </row>
    <row r="246" spans="4:9">
      <c r="D246" s="12"/>
      <c r="H246" s="15"/>
      <c r="I246" s="25"/>
    </row>
    <row r="247" spans="4:9">
      <c r="D247" s="12"/>
      <c r="H247" s="15"/>
      <c r="I247" s="25"/>
    </row>
    <row r="248" spans="4:9">
      <c r="D248" s="12"/>
      <c r="H248" s="15"/>
      <c r="I248" s="25"/>
    </row>
    <row r="249" spans="4:9">
      <c r="D249" s="12"/>
      <c r="H249" s="15"/>
      <c r="I249" s="25"/>
    </row>
    <row r="250" spans="4:9">
      <c r="D250" s="12"/>
      <c r="H250" s="15"/>
      <c r="I250" s="25"/>
    </row>
    <row r="251" spans="4:9">
      <c r="D251" s="12"/>
      <c r="H251" s="15"/>
      <c r="I251" s="25"/>
    </row>
    <row r="252" spans="4:9">
      <c r="D252" s="12"/>
      <c r="H252" s="15"/>
      <c r="I252" s="25"/>
    </row>
    <row r="253" spans="4:9">
      <c r="D253" s="12"/>
      <c r="H253" s="15"/>
      <c r="I253" s="25"/>
    </row>
    <row r="254" spans="4:9">
      <c r="D254" s="12"/>
      <c r="H254" s="15"/>
      <c r="I254" s="25"/>
    </row>
    <row r="255" spans="4:9">
      <c r="D255" s="12"/>
      <c r="H255" s="15"/>
      <c r="I255" s="25"/>
    </row>
    <row r="256" spans="4:9">
      <c r="D256" s="12"/>
      <c r="H256" s="15"/>
      <c r="I256" s="25"/>
    </row>
    <row r="257" spans="4:9">
      <c r="D257" s="12"/>
      <c r="H257" s="15"/>
      <c r="I257" s="25"/>
    </row>
    <row r="258" spans="4:9">
      <c r="D258" s="12"/>
      <c r="H258" s="15"/>
      <c r="I258" s="25"/>
    </row>
    <row r="259" spans="4:9">
      <c r="D259" s="12"/>
      <c r="H259" s="15"/>
      <c r="I259" s="25"/>
    </row>
    <row r="260" spans="4:9">
      <c r="D260" s="12"/>
      <c r="H260" s="15"/>
      <c r="I260" s="25"/>
    </row>
    <row r="261" spans="4:9">
      <c r="D261" s="12"/>
      <c r="H261" s="15"/>
      <c r="I261" s="25"/>
    </row>
    <row r="262" spans="4:9">
      <c r="D262" s="12"/>
      <c r="H262" s="15"/>
      <c r="I262" s="25"/>
    </row>
    <row r="263" spans="4:9">
      <c r="D263" s="12"/>
      <c r="H263" s="15"/>
      <c r="I263" s="25"/>
    </row>
    <row r="264" spans="4:9">
      <c r="D264" s="12"/>
      <c r="H264" s="15"/>
      <c r="I264" s="25"/>
    </row>
    <row r="265" spans="4:9">
      <c r="D265" s="12"/>
      <c r="H265" s="15"/>
      <c r="I265" s="25"/>
    </row>
    <row r="266" spans="4:9">
      <c r="D266" s="12"/>
      <c r="H266" s="15"/>
      <c r="I266" s="25"/>
    </row>
    <row r="267" spans="4:9">
      <c r="D267" s="12"/>
      <c r="H267" s="15"/>
      <c r="I267" s="25"/>
    </row>
    <row r="268" spans="4:9">
      <c r="D268" s="12"/>
      <c r="H268" s="15"/>
      <c r="I268" s="25"/>
    </row>
    <row r="269" spans="4:9">
      <c r="D269" s="12"/>
      <c r="H269" s="15"/>
      <c r="I269" s="25"/>
    </row>
    <row r="270" spans="4:9">
      <c r="D270" s="12"/>
      <c r="H270" s="15"/>
      <c r="I270" s="25"/>
    </row>
    <row r="271" spans="4:9">
      <c r="D271" s="12"/>
      <c r="H271" s="15"/>
      <c r="I271" s="25"/>
    </row>
    <row r="272" spans="4:9">
      <c r="D272" s="12"/>
      <c r="H272" s="15"/>
      <c r="I272" s="25"/>
    </row>
    <row r="273" spans="4:9">
      <c r="D273" s="12"/>
      <c r="H273" s="15"/>
      <c r="I273" s="25"/>
    </row>
    <row r="274" spans="4:9">
      <c r="D274" s="12"/>
      <c r="H274" s="15"/>
      <c r="I274" s="25"/>
    </row>
    <row r="275" spans="4:9">
      <c r="D275" s="12"/>
      <c r="H275" s="15"/>
      <c r="I275" s="25"/>
    </row>
    <row r="276" spans="4:9">
      <c r="D276" s="12"/>
      <c r="H276" s="15"/>
      <c r="I276" s="25"/>
    </row>
    <row r="277" spans="4:9">
      <c r="D277" s="12"/>
      <c r="H277" s="15"/>
      <c r="I277" s="25"/>
    </row>
    <row r="278" spans="4:9">
      <c r="D278" s="12"/>
      <c r="H278" s="15"/>
      <c r="I278" s="25"/>
    </row>
    <row r="279" spans="4:9">
      <c r="D279" s="12"/>
      <c r="H279" s="15"/>
      <c r="I279" s="25"/>
    </row>
    <row r="280" spans="4:9">
      <c r="D280" s="12"/>
      <c r="H280" s="15"/>
      <c r="I280" s="25"/>
    </row>
    <row r="281" spans="4:9">
      <c r="D281" s="12"/>
      <c r="H281" s="15"/>
      <c r="I281" s="25"/>
    </row>
    <row r="282" spans="4:9">
      <c r="D282" s="12"/>
      <c r="H282" s="15"/>
      <c r="I282" s="25"/>
    </row>
    <row r="283" spans="4:9">
      <c r="D283" s="12"/>
      <c r="H283" s="15"/>
      <c r="I283" s="25"/>
    </row>
    <row r="284" spans="4:9">
      <c r="D284" s="12"/>
      <c r="H284" s="15"/>
      <c r="I284" s="25"/>
    </row>
    <row r="285" spans="4:9">
      <c r="D285" s="12"/>
      <c r="H285" s="15"/>
      <c r="I285" s="25"/>
    </row>
    <row r="286" spans="4:9">
      <c r="D286" s="12"/>
      <c r="H286" s="15"/>
      <c r="I286" s="25"/>
    </row>
    <row r="287" spans="4:9">
      <c r="D287" s="12"/>
      <c r="H287" s="15"/>
      <c r="I287" s="25"/>
    </row>
    <row r="288" spans="4:9">
      <c r="D288" s="12"/>
      <c r="H288" s="15"/>
      <c r="I288" s="25"/>
    </row>
    <row r="289" spans="4:9">
      <c r="D289" s="12"/>
      <c r="H289" s="15"/>
      <c r="I289" s="25"/>
    </row>
    <row r="290" spans="4:9">
      <c r="D290" s="12"/>
      <c r="H290" s="15"/>
      <c r="I290" s="25"/>
    </row>
    <row r="291" spans="4:9">
      <c r="D291" s="12"/>
      <c r="H291" s="15"/>
      <c r="I291" s="25"/>
    </row>
    <row r="292" spans="4:9">
      <c r="D292" s="12"/>
      <c r="H292" s="15"/>
      <c r="I292" s="25"/>
    </row>
    <row r="293" spans="4:9">
      <c r="D293" s="12"/>
      <c r="H293" s="15"/>
      <c r="I293" s="25"/>
    </row>
    <row r="294" spans="4:9">
      <c r="D294" s="12"/>
      <c r="H294" s="15"/>
      <c r="I294" s="25"/>
    </row>
    <row r="295" spans="4:9">
      <c r="D295" s="12"/>
      <c r="H295" s="15"/>
      <c r="I295" s="25"/>
    </row>
    <row r="296" spans="4:9">
      <c r="D296" s="12"/>
      <c r="H296" s="15"/>
      <c r="I296" s="25"/>
    </row>
    <row r="297" spans="4:9">
      <c r="D297" s="12"/>
      <c r="H297" s="15"/>
      <c r="I297" s="25"/>
    </row>
    <row r="298" spans="4:9">
      <c r="D298" s="12"/>
      <c r="H298" s="15"/>
      <c r="I298" s="25"/>
    </row>
    <row r="299" spans="4:9">
      <c r="D299" s="12"/>
      <c r="H299" s="15"/>
      <c r="I299" s="25"/>
    </row>
    <row r="300" spans="4:9">
      <c r="D300" s="12"/>
      <c r="H300" s="15"/>
      <c r="I300" s="25"/>
    </row>
    <row r="301" spans="4:9">
      <c r="D301" s="12"/>
      <c r="H301" s="15"/>
      <c r="I301" s="25"/>
    </row>
    <row r="302" spans="4:9">
      <c r="D302" s="12"/>
      <c r="H302" s="15"/>
      <c r="I302" s="25"/>
    </row>
    <row r="303" spans="4:9">
      <c r="D303" s="12"/>
      <c r="H303" s="15"/>
      <c r="I303" s="25"/>
    </row>
    <row r="304" spans="4:9">
      <c r="D304" s="12"/>
      <c r="H304" s="15"/>
      <c r="I304" s="25"/>
    </row>
    <row r="305" spans="4:9">
      <c r="D305" s="12"/>
      <c r="H305" s="15"/>
      <c r="I305" s="25"/>
    </row>
    <row r="306" spans="4:9">
      <c r="D306" s="12"/>
      <c r="H306" s="15"/>
      <c r="I306" s="25"/>
    </row>
    <row r="307" spans="4:9">
      <c r="D307" s="12"/>
      <c r="H307" s="15"/>
      <c r="I307" s="25"/>
    </row>
    <row r="308" spans="4:9">
      <c r="D308" s="12"/>
      <c r="H308" s="15"/>
      <c r="I308" s="25"/>
    </row>
    <row r="309" spans="4:9">
      <c r="D309" s="12"/>
      <c r="H309" s="15"/>
      <c r="I309" s="25"/>
    </row>
    <row r="310" spans="4:9">
      <c r="D310" s="12"/>
      <c r="H310" s="15"/>
      <c r="I310" s="25"/>
    </row>
    <row r="311" spans="4:9">
      <c r="D311" s="12"/>
      <c r="H311" s="15"/>
      <c r="I311" s="25"/>
    </row>
    <row r="312" spans="4:9">
      <c r="D312" s="12"/>
      <c r="H312" s="15"/>
      <c r="I312" s="25"/>
    </row>
    <row r="313" spans="4:9">
      <c r="D313" s="12"/>
      <c r="H313" s="15"/>
      <c r="I313" s="25"/>
    </row>
    <row r="314" spans="4:9">
      <c r="D314" s="12"/>
      <c r="H314" s="15"/>
      <c r="I314" s="25"/>
    </row>
    <row r="315" spans="4:9">
      <c r="D315" s="12"/>
      <c r="H315" s="15"/>
      <c r="I315" s="25"/>
    </row>
    <row r="316" spans="4:9">
      <c r="D316" s="12"/>
      <c r="H316" s="15"/>
      <c r="I316" s="25"/>
    </row>
    <row r="317" spans="4:9">
      <c r="D317" s="12"/>
      <c r="H317" s="15"/>
      <c r="I317" s="25"/>
    </row>
    <row r="318" spans="4:9">
      <c r="D318" s="12"/>
      <c r="H318" s="15"/>
      <c r="I318" s="25"/>
    </row>
    <row r="319" spans="4:9">
      <c r="D319" s="12"/>
      <c r="H319" s="15"/>
      <c r="I319" s="25"/>
    </row>
    <row r="320" spans="4:9">
      <c r="D320" s="12"/>
      <c r="H320" s="15"/>
      <c r="I320" s="25"/>
    </row>
    <row r="321" spans="4:9">
      <c r="D321" s="12"/>
      <c r="H321" s="15"/>
      <c r="I321" s="25"/>
    </row>
    <row r="322" spans="4:9">
      <c r="D322" s="12"/>
      <c r="H322" s="15"/>
      <c r="I322" s="25"/>
    </row>
    <row r="323" spans="4:9">
      <c r="D323" s="12"/>
      <c r="H323" s="15"/>
      <c r="I323" s="25"/>
    </row>
    <row r="324" spans="4:9">
      <c r="D324" s="12"/>
      <c r="H324" s="15"/>
      <c r="I324" s="25"/>
    </row>
    <row r="325" spans="4:9">
      <c r="D325" s="12"/>
      <c r="H325" s="15"/>
      <c r="I325" s="25"/>
    </row>
    <row r="326" spans="4:9">
      <c r="D326" s="12"/>
      <c r="H326" s="15"/>
      <c r="I326" s="25"/>
    </row>
    <row r="327" spans="4:9">
      <c r="D327" s="12"/>
      <c r="H327" s="15"/>
      <c r="I327" s="25"/>
    </row>
    <row r="328" spans="4:9">
      <c r="D328" s="12"/>
      <c r="H328" s="15"/>
      <c r="I328" s="25"/>
    </row>
    <row r="329" spans="4:9">
      <c r="D329" s="12"/>
      <c r="H329" s="15"/>
      <c r="I329" s="25"/>
    </row>
    <row r="330" spans="4:9">
      <c r="D330" s="12"/>
      <c r="H330" s="15"/>
      <c r="I330" s="25"/>
    </row>
    <row r="331" spans="4:9">
      <c r="D331" s="12"/>
      <c r="H331" s="15"/>
      <c r="I331" s="25"/>
    </row>
    <row r="332" spans="4:9">
      <c r="D332" s="12"/>
      <c r="H332" s="15"/>
      <c r="I332" s="25"/>
    </row>
    <row r="333" spans="4:9">
      <c r="D333" s="12"/>
      <c r="H333" s="15"/>
      <c r="I333" s="25"/>
    </row>
    <row r="334" spans="4:9">
      <c r="D334" s="12"/>
      <c r="H334" s="15"/>
      <c r="I334" s="25"/>
    </row>
    <row r="335" spans="4:9">
      <c r="D335" s="12"/>
      <c r="H335" s="15"/>
      <c r="I335" s="25"/>
    </row>
    <row r="336" spans="4:9">
      <c r="D336" s="12"/>
      <c r="H336" s="15"/>
      <c r="I336" s="25"/>
    </row>
    <row r="337" spans="4:9">
      <c r="D337" s="12"/>
      <c r="H337" s="15"/>
      <c r="I337" s="25"/>
    </row>
    <row r="338" spans="4:9">
      <c r="D338" s="12"/>
      <c r="H338" s="15"/>
      <c r="I338" s="25"/>
    </row>
    <row r="339" spans="4:9">
      <c r="D339" s="12"/>
      <c r="H339" s="15"/>
      <c r="I339" s="25"/>
    </row>
    <row r="340" spans="4:9">
      <c r="D340" s="12"/>
      <c r="H340" s="15"/>
      <c r="I340" s="25"/>
    </row>
    <row r="341" spans="4:9">
      <c r="D341" s="12"/>
      <c r="H341" s="15"/>
      <c r="I341" s="25"/>
    </row>
    <row r="342" spans="4:9">
      <c r="D342" s="12"/>
      <c r="H342" s="15"/>
      <c r="I342" s="25"/>
    </row>
    <row r="343" spans="4:9">
      <c r="D343" s="12"/>
      <c r="H343" s="15"/>
      <c r="I343" s="25"/>
    </row>
    <row r="344" spans="4:9">
      <c r="D344" s="12"/>
      <c r="H344" s="15"/>
      <c r="I344" s="25"/>
    </row>
    <row r="345" spans="4:9">
      <c r="D345" s="12"/>
      <c r="H345" s="15"/>
      <c r="I345" s="25"/>
    </row>
    <row r="346" spans="4:9">
      <c r="D346" s="12"/>
      <c r="H346" s="15"/>
      <c r="I346" s="25"/>
    </row>
    <row r="347" spans="4:9">
      <c r="D347" s="12"/>
      <c r="H347" s="15"/>
      <c r="I347" s="25"/>
    </row>
    <row r="348" spans="4:9">
      <c r="D348" s="12"/>
      <c r="H348" s="15"/>
      <c r="I348" s="25"/>
    </row>
    <row r="349" spans="4:9">
      <c r="D349" s="12"/>
      <c r="H349" s="15"/>
      <c r="I349" s="25"/>
    </row>
    <row r="350" spans="4:9">
      <c r="D350" s="12"/>
      <c r="H350" s="15"/>
      <c r="I350" s="25"/>
    </row>
    <row r="351" spans="4:9">
      <c r="D351" s="12"/>
      <c r="H351" s="15"/>
      <c r="I351" s="25"/>
    </row>
    <row r="352" spans="4:9">
      <c r="D352" s="12"/>
      <c r="H352" s="15"/>
      <c r="I352" s="25"/>
    </row>
    <row r="353" spans="4:9">
      <c r="D353" s="12"/>
      <c r="H353" s="15"/>
      <c r="I353" s="25"/>
    </row>
    <row r="354" spans="4:9">
      <c r="D354" s="12"/>
      <c r="H354" s="15"/>
      <c r="I354" s="25"/>
    </row>
    <row r="355" spans="4:9">
      <c r="D355" s="12"/>
      <c r="H355" s="15"/>
      <c r="I355" s="25"/>
    </row>
    <row r="356" spans="4:9">
      <c r="D356" s="12"/>
      <c r="H356" s="15"/>
      <c r="I356" s="25"/>
    </row>
    <row r="357" spans="4:9">
      <c r="D357" s="12"/>
      <c r="H357" s="15"/>
      <c r="I357" s="25"/>
    </row>
    <row r="358" spans="4:9">
      <c r="D358" s="12"/>
      <c r="H358" s="15"/>
      <c r="I358" s="25"/>
    </row>
    <row r="359" spans="4:9">
      <c r="D359" s="12"/>
      <c r="H359" s="15"/>
      <c r="I359" s="25"/>
    </row>
    <row r="360" spans="4:9">
      <c r="D360" s="12"/>
      <c r="H360" s="15"/>
      <c r="I360" s="25"/>
    </row>
    <row r="361" spans="4:9">
      <c r="D361" s="12"/>
      <c r="H361" s="15"/>
      <c r="I361" s="25"/>
    </row>
    <row r="362" spans="4:9">
      <c r="D362" s="12"/>
      <c r="H362" s="15"/>
      <c r="I362" s="25"/>
    </row>
    <row r="363" spans="4:9">
      <c r="D363" s="12"/>
      <c r="H363" s="15"/>
      <c r="I363" s="25"/>
    </row>
    <row r="364" spans="4:9">
      <c r="D364" s="12"/>
      <c r="H364" s="15"/>
      <c r="I364" s="25"/>
    </row>
    <row r="365" spans="4:9">
      <c r="D365" s="12"/>
      <c r="H365" s="15"/>
      <c r="I365" s="25"/>
    </row>
    <row r="366" spans="4:9">
      <c r="D366" s="12"/>
      <c r="H366" s="15"/>
      <c r="I366" s="25"/>
    </row>
    <row r="367" spans="4:9">
      <c r="D367" s="12"/>
      <c r="H367" s="15"/>
      <c r="I367" s="25"/>
    </row>
    <row r="368" spans="4:9">
      <c r="D368" s="12"/>
      <c r="H368" s="15"/>
      <c r="I368" s="25"/>
    </row>
    <row r="369" spans="4:9">
      <c r="D369" s="12"/>
      <c r="H369" s="15"/>
      <c r="I369" s="25"/>
    </row>
    <row r="370" spans="4:9">
      <c r="D370" s="12"/>
      <c r="H370" s="15"/>
      <c r="I370" s="25"/>
    </row>
    <row r="371" spans="4:9">
      <c r="D371" s="12"/>
      <c r="H371" s="15"/>
      <c r="I371" s="25"/>
    </row>
    <row r="372" spans="4:9">
      <c r="D372" s="12"/>
      <c r="H372" s="15"/>
      <c r="I372" s="25"/>
    </row>
    <row r="373" spans="4:9">
      <c r="D373" s="12"/>
      <c r="H373" s="15"/>
      <c r="I373" s="25"/>
    </row>
    <row r="374" spans="4:9">
      <c r="D374" s="12"/>
      <c r="H374" s="15"/>
      <c r="I374" s="25"/>
    </row>
    <row r="375" spans="4:9">
      <c r="D375" s="12"/>
      <c r="H375" s="15"/>
      <c r="I375" s="25"/>
    </row>
    <row r="376" spans="4:9">
      <c r="D376" s="12"/>
      <c r="H376" s="15"/>
      <c r="I376" s="25"/>
    </row>
    <row r="377" spans="4:9">
      <c r="D377" s="12"/>
      <c r="H377" s="15"/>
      <c r="I377" s="25"/>
    </row>
    <row r="378" spans="4:9">
      <c r="D378" s="12"/>
      <c r="H378" s="15"/>
      <c r="I378" s="25"/>
    </row>
    <row r="379" spans="4:9">
      <c r="D379" s="12"/>
      <c r="H379" s="15"/>
      <c r="I379" s="25"/>
    </row>
    <row r="380" spans="4:9">
      <c r="D380" s="12"/>
      <c r="H380" s="15"/>
      <c r="I380" s="25"/>
    </row>
    <row r="381" spans="4:9">
      <c r="D381" s="12"/>
      <c r="H381" s="15"/>
      <c r="I381" s="25"/>
    </row>
    <row r="382" spans="4:9">
      <c r="D382" s="12"/>
      <c r="H382" s="15"/>
      <c r="I382" s="25"/>
    </row>
    <row r="383" spans="4:9">
      <c r="D383" s="12"/>
      <c r="H383" s="15"/>
      <c r="I383" s="25"/>
    </row>
    <row r="384" spans="4:9">
      <c r="D384" s="12"/>
      <c r="H384" s="15"/>
      <c r="I384" s="25"/>
    </row>
    <row r="385" spans="4:9">
      <c r="D385" s="12"/>
      <c r="H385" s="15"/>
      <c r="I385" s="25"/>
    </row>
    <row r="386" spans="4:9">
      <c r="D386" s="12"/>
      <c r="H386" s="15"/>
      <c r="I386" s="25"/>
    </row>
    <row r="387" spans="4:9">
      <c r="D387" s="12"/>
      <c r="H387" s="15"/>
      <c r="I387" s="25"/>
    </row>
    <row r="388" spans="4:9">
      <c r="D388" s="12"/>
      <c r="H388" s="15"/>
      <c r="I388" s="25"/>
    </row>
    <row r="389" spans="4:9">
      <c r="D389" s="12"/>
      <c r="H389" s="15"/>
      <c r="I389" s="25"/>
    </row>
    <row r="390" spans="4:9">
      <c r="D390" s="12"/>
      <c r="H390" s="15"/>
      <c r="I390" s="25"/>
    </row>
    <row r="391" spans="4:9">
      <c r="D391" s="12"/>
      <c r="H391" s="15"/>
      <c r="I391" s="25"/>
    </row>
    <row r="392" spans="4:9">
      <c r="D392" s="12"/>
      <c r="H392" s="15"/>
      <c r="I392" s="25"/>
    </row>
    <row r="393" spans="4:9">
      <c r="D393" s="12"/>
      <c r="H393" s="15"/>
      <c r="I393" s="25"/>
    </row>
    <row r="394" spans="4:9">
      <c r="D394" s="12"/>
      <c r="H394" s="15"/>
      <c r="I394" s="25"/>
    </row>
    <row r="395" spans="4:9">
      <c r="D395" s="12"/>
      <c r="H395" s="15"/>
      <c r="I395" s="25"/>
    </row>
    <row r="396" spans="4:9">
      <c r="D396" s="12"/>
      <c r="H396" s="15"/>
      <c r="I396" s="25"/>
    </row>
    <row r="397" spans="4:9">
      <c r="D397" s="12"/>
      <c r="H397" s="15"/>
      <c r="I397" s="25"/>
    </row>
    <row r="398" spans="4:9">
      <c r="D398" s="12"/>
      <c r="H398" s="15"/>
      <c r="I398" s="25"/>
    </row>
    <row r="399" spans="4:9">
      <c r="D399" s="12"/>
      <c r="H399" s="15"/>
      <c r="I399" s="25"/>
    </row>
    <row r="400" spans="4:9">
      <c r="D400" s="12"/>
      <c r="H400" s="15"/>
      <c r="I400" s="25"/>
    </row>
    <row r="401" spans="4:9">
      <c r="D401" s="12"/>
      <c r="H401" s="15"/>
      <c r="I401" s="25"/>
    </row>
    <row r="402" spans="4:9">
      <c r="D402" s="12"/>
      <c r="H402" s="15"/>
      <c r="I402" s="25"/>
    </row>
    <row r="403" spans="4:9">
      <c r="D403" s="12"/>
      <c r="H403" s="15"/>
      <c r="I403" s="25"/>
    </row>
    <row r="404" spans="4:9">
      <c r="D404" s="12"/>
      <c r="H404" s="15"/>
      <c r="I404" s="25"/>
    </row>
    <row r="405" spans="4:9">
      <c r="D405" s="12"/>
      <c r="H405" s="15"/>
      <c r="I405" s="25"/>
    </row>
    <row r="406" spans="4:9">
      <c r="D406" s="12"/>
      <c r="H406" s="15"/>
      <c r="I406" s="25"/>
    </row>
    <row r="407" spans="4:9">
      <c r="D407" s="12"/>
      <c r="H407" s="15"/>
      <c r="I407" s="25"/>
    </row>
    <row r="408" spans="4:9">
      <c r="D408" s="12"/>
      <c r="H408" s="15"/>
      <c r="I408" s="25"/>
    </row>
    <row r="409" spans="4:9">
      <c r="D409" s="12"/>
      <c r="H409" s="15"/>
      <c r="I409" s="25"/>
    </row>
    <row r="410" spans="4:9">
      <c r="D410" s="12"/>
      <c r="H410" s="15"/>
      <c r="I410" s="25"/>
    </row>
    <row r="411" spans="4:9">
      <c r="D411" s="12"/>
      <c r="H411" s="15"/>
      <c r="I411" s="25"/>
    </row>
    <row r="412" spans="4:9">
      <c r="D412" s="12"/>
      <c r="H412" s="15"/>
      <c r="I412" s="25"/>
    </row>
    <row r="413" spans="4:9">
      <c r="D413" s="12"/>
      <c r="H413" s="15"/>
      <c r="I413" s="25"/>
    </row>
    <row r="414" spans="4:9">
      <c r="D414" s="12"/>
      <c r="H414" s="15"/>
      <c r="I414" s="25"/>
    </row>
    <row r="415" spans="4:9">
      <c r="D415" s="12"/>
      <c r="H415" s="15"/>
      <c r="I415" s="25"/>
    </row>
    <row r="416" spans="4:9">
      <c r="D416" s="12"/>
      <c r="H416" s="15"/>
      <c r="I416" s="25"/>
    </row>
    <row r="417" spans="4:9">
      <c r="D417" s="12"/>
      <c r="H417" s="15"/>
      <c r="I417" s="25"/>
    </row>
    <row r="418" spans="4:9">
      <c r="D418" s="12"/>
      <c r="H418" s="15"/>
      <c r="I418" s="25"/>
    </row>
    <row r="419" spans="4:9">
      <c r="D419" s="12"/>
      <c r="H419" s="15"/>
      <c r="I419" s="25"/>
    </row>
    <row r="420" spans="4:9">
      <c r="D420" s="12"/>
      <c r="H420" s="15"/>
      <c r="I420" s="25"/>
    </row>
    <row r="421" spans="4:9">
      <c r="D421" s="12"/>
      <c r="H421" s="15"/>
      <c r="I421" s="25"/>
    </row>
    <row r="422" spans="4:9">
      <c r="D422" s="12"/>
      <c r="H422" s="15"/>
      <c r="I422" s="25"/>
    </row>
    <row r="423" spans="4:9">
      <c r="D423" s="12"/>
      <c r="H423" s="15"/>
      <c r="I423" s="25"/>
    </row>
    <row r="424" spans="4:9">
      <c r="D424" s="12"/>
      <c r="H424" s="15"/>
      <c r="I424" s="25"/>
    </row>
    <row r="425" spans="4:9">
      <c r="D425" s="12"/>
      <c r="H425" s="15"/>
      <c r="I425" s="25"/>
    </row>
    <row r="426" spans="4:9">
      <c r="D426" s="12"/>
      <c r="H426" s="15"/>
      <c r="I426" s="25"/>
    </row>
    <row r="427" spans="4:9">
      <c r="D427" s="12"/>
      <c r="H427" s="15"/>
      <c r="I427" s="25"/>
    </row>
    <row r="428" spans="4:9">
      <c r="D428" s="12"/>
      <c r="H428" s="15"/>
      <c r="I428" s="25"/>
    </row>
    <row r="429" spans="4:9">
      <c r="D429" s="12"/>
      <c r="H429" s="15"/>
      <c r="I429" s="25"/>
    </row>
    <row r="430" spans="4:9">
      <c r="D430" s="12"/>
      <c r="H430" s="15"/>
      <c r="I430" s="25"/>
    </row>
    <row r="431" spans="4:9">
      <c r="D431" s="12"/>
      <c r="H431" s="15"/>
      <c r="I431" s="25"/>
    </row>
    <row r="432" spans="4:9">
      <c r="D432" s="12"/>
      <c r="H432" s="15"/>
      <c r="I432" s="25"/>
    </row>
    <row r="433" spans="4:9">
      <c r="D433" s="12"/>
      <c r="H433" s="15"/>
      <c r="I433" s="25"/>
    </row>
    <row r="434" spans="4:9">
      <c r="D434" s="12"/>
      <c r="H434" s="15"/>
      <c r="I434" s="25"/>
    </row>
    <row r="435" spans="4:9">
      <c r="D435" s="12"/>
      <c r="H435" s="15"/>
      <c r="I435" s="25"/>
    </row>
    <row r="436" spans="4:9">
      <c r="D436" s="12"/>
      <c r="H436" s="15"/>
      <c r="I436" s="25"/>
    </row>
    <row r="437" spans="4:9">
      <c r="D437" s="12"/>
      <c r="H437" s="15"/>
      <c r="I437" s="25"/>
    </row>
    <row r="438" spans="4:9">
      <c r="D438" s="12"/>
      <c r="H438" s="15"/>
      <c r="I438" s="25"/>
    </row>
    <row r="439" spans="4:9">
      <c r="D439" s="12"/>
      <c r="H439" s="15"/>
      <c r="I439" s="25"/>
    </row>
    <row r="440" spans="4:9">
      <c r="D440" s="12"/>
      <c r="H440" s="15"/>
      <c r="I440" s="25"/>
    </row>
    <row r="441" spans="4:9">
      <c r="D441" s="12"/>
      <c r="H441" s="15"/>
      <c r="I441" s="25"/>
    </row>
    <row r="442" spans="4:9">
      <c r="D442" s="12"/>
      <c r="H442" s="15"/>
      <c r="I442" s="25"/>
    </row>
    <row r="443" spans="4:9">
      <c r="D443" s="12"/>
      <c r="H443" s="15"/>
      <c r="I443" s="25"/>
    </row>
    <row r="444" spans="4:9">
      <c r="D444" s="12"/>
      <c r="H444" s="15"/>
      <c r="I444" s="25"/>
    </row>
    <row r="445" spans="4:9">
      <c r="D445" s="12"/>
      <c r="H445" s="15"/>
      <c r="I445" s="25"/>
    </row>
    <row r="446" spans="4:9">
      <c r="D446" s="12"/>
      <c r="H446" s="15"/>
      <c r="I446" s="25"/>
    </row>
    <row r="447" spans="4:9">
      <c r="D447" s="12"/>
      <c r="H447" s="15"/>
      <c r="I447" s="25"/>
    </row>
    <row r="448" spans="4:9">
      <c r="D448" s="12"/>
      <c r="H448" s="15"/>
      <c r="I448" s="25"/>
    </row>
    <row r="449" spans="4:9">
      <c r="D449" s="12"/>
      <c r="H449" s="15"/>
      <c r="I449" s="25"/>
    </row>
    <row r="450" spans="4:9">
      <c r="D450" s="12"/>
      <c r="H450" s="15"/>
      <c r="I450" s="25"/>
    </row>
    <row r="451" spans="4:9">
      <c r="D451" s="12"/>
      <c r="H451" s="15"/>
      <c r="I451" s="25"/>
    </row>
    <row r="452" spans="4:9">
      <c r="D452" s="12"/>
      <c r="H452" s="15"/>
      <c r="I452" s="25"/>
    </row>
    <row r="453" spans="4:9">
      <c r="D453" s="12"/>
      <c r="H453" s="15"/>
      <c r="I453" s="25"/>
    </row>
    <row r="454" spans="4:9">
      <c r="D454" s="12"/>
      <c r="H454" s="15"/>
      <c r="I454" s="25"/>
    </row>
    <row r="455" spans="4:9">
      <c r="D455" s="12"/>
      <c r="H455" s="15"/>
      <c r="I455" s="25"/>
    </row>
    <row r="456" spans="4:9">
      <c r="D456" s="12"/>
      <c r="H456" s="15"/>
      <c r="I456" s="25"/>
    </row>
    <row r="457" spans="4:9">
      <c r="D457" s="12"/>
      <c r="H457" s="15"/>
      <c r="I457" s="25"/>
    </row>
    <row r="458" spans="4:9">
      <c r="D458" s="12"/>
      <c r="H458" s="15"/>
      <c r="I458" s="25"/>
    </row>
    <row r="459" spans="4:9">
      <c r="D459" s="12"/>
      <c r="H459" s="15"/>
      <c r="I459" s="25"/>
    </row>
    <row r="460" spans="4:9">
      <c r="D460" s="12"/>
      <c r="H460" s="15"/>
      <c r="I460" s="25"/>
    </row>
    <row r="461" spans="4:9">
      <c r="D461" s="12"/>
      <c r="H461" s="15"/>
      <c r="I461" s="25"/>
    </row>
    <row r="462" spans="4:9">
      <c r="D462" s="12"/>
      <c r="H462" s="15"/>
      <c r="I462" s="25"/>
    </row>
    <row r="463" spans="4:9">
      <c r="D463" s="12"/>
      <c r="H463" s="15"/>
      <c r="I463" s="25"/>
    </row>
    <row r="464" spans="4:9">
      <c r="D464" s="12"/>
      <c r="H464" s="15"/>
      <c r="I464" s="25"/>
    </row>
    <row r="465" spans="4:9">
      <c r="D465" s="12"/>
      <c r="H465" s="15"/>
      <c r="I465" s="25"/>
    </row>
    <row r="466" spans="4:9">
      <c r="D466" s="12"/>
      <c r="H466" s="15"/>
      <c r="I466" s="25"/>
    </row>
    <row r="467" spans="4:9">
      <c r="D467" s="12"/>
      <c r="H467" s="15"/>
      <c r="I467" s="25"/>
    </row>
    <row r="468" spans="4:9">
      <c r="D468" s="12"/>
      <c r="H468" s="15"/>
      <c r="I468" s="25"/>
    </row>
    <row r="469" spans="4:9">
      <c r="D469" s="12"/>
      <c r="H469" s="15"/>
      <c r="I469" s="25"/>
    </row>
    <row r="470" spans="4:9">
      <c r="D470" s="12"/>
      <c r="H470" s="15"/>
      <c r="I470" s="25"/>
    </row>
    <row r="471" spans="4:9">
      <c r="D471" s="12"/>
      <c r="H471" s="15"/>
      <c r="I471" s="25"/>
    </row>
    <row r="472" spans="4:9">
      <c r="D472" s="12"/>
      <c r="H472" s="15"/>
      <c r="I472" s="25"/>
    </row>
    <row r="473" spans="4:9">
      <c r="D473" s="12"/>
      <c r="H473" s="15"/>
      <c r="I473" s="25"/>
    </row>
    <row r="474" spans="4:9">
      <c r="D474" s="12"/>
      <c r="H474" s="15"/>
      <c r="I474" s="25"/>
    </row>
    <row r="475" spans="4:9">
      <c r="D475" s="12"/>
      <c r="H475" s="15"/>
      <c r="I475" s="25"/>
    </row>
    <row r="476" spans="4:9">
      <c r="D476" s="12"/>
      <c r="H476" s="15"/>
      <c r="I476" s="25"/>
    </row>
    <row r="477" spans="4:9">
      <c r="D477" s="12"/>
      <c r="H477" s="15"/>
      <c r="I477" s="25"/>
    </row>
    <row r="478" spans="4:9">
      <c r="D478" s="12"/>
      <c r="H478" s="15"/>
      <c r="I478" s="25"/>
    </row>
    <row r="479" spans="4:9">
      <c r="D479" s="12"/>
      <c r="H479" s="15"/>
      <c r="I479" s="25"/>
    </row>
    <row r="480" spans="4:9">
      <c r="D480" s="12"/>
      <c r="H480" s="15"/>
      <c r="I480" s="25"/>
    </row>
    <row r="481" spans="4:9">
      <c r="D481" s="12"/>
      <c r="H481" s="15"/>
      <c r="I481" s="25"/>
    </row>
    <row r="482" spans="4:9">
      <c r="D482" s="12"/>
      <c r="H482" s="15"/>
      <c r="I482" s="25"/>
    </row>
    <row r="483" spans="4:9">
      <c r="D483" s="12"/>
      <c r="H483" s="15"/>
      <c r="I483" s="25"/>
    </row>
    <row r="484" spans="4:9">
      <c r="D484" s="12"/>
      <c r="H484" s="15"/>
      <c r="I484" s="25"/>
    </row>
    <row r="485" spans="4:9">
      <c r="D485" s="12"/>
      <c r="H485" s="15"/>
      <c r="I485" s="25"/>
    </row>
    <row r="486" spans="4:9">
      <c r="D486" s="12"/>
      <c r="H486" s="15"/>
      <c r="I486" s="25"/>
    </row>
    <row r="487" spans="4:9">
      <c r="D487" s="12"/>
      <c r="H487" s="15"/>
      <c r="I487" s="25"/>
    </row>
    <row r="488" spans="4:9">
      <c r="D488" s="12"/>
      <c r="H488" s="15"/>
      <c r="I488" s="25"/>
    </row>
    <row r="489" spans="4:9">
      <c r="D489" s="12"/>
      <c r="H489" s="15"/>
      <c r="I489" s="25"/>
    </row>
    <row r="490" spans="4:9">
      <c r="D490" s="12"/>
      <c r="H490" s="15"/>
      <c r="I490" s="25"/>
    </row>
    <row r="491" spans="4:9">
      <c r="D491" s="12"/>
      <c r="H491" s="15"/>
      <c r="I491" s="25"/>
    </row>
    <row r="492" spans="4:9">
      <c r="D492" s="12"/>
      <c r="H492" s="15"/>
      <c r="I492" s="25"/>
    </row>
    <row r="493" spans="4:9">
      <c r="D493" s="12"/>
      <c r="H493" s="15"/>
      <c r="I493" s="25"/>
    </row>
    <row r="494" spans="4:9">
      <c r="D494" s="12"/>
      <c r="H494" s="15"/>
      <c r="I494" s="25"/>
    </row>
    <row r="495" spans="4:9">
      <c r="D495" s="12"/>
      <c r="H495" s="15"/>
      <c r="I495" s="25"/>
    </row>
    <row r="496" spans="4:9">
      <c r="D496" s="12"/>
      <c r="H496" s="15"/>
      <c r="I496" s="25"/>
    </row>
    <row r="497" spans="4:9">
      <c r="D497" s="12"/>
      <c r="H497" s="15"/>
      <c r="I497" s="25"/>
    </row>
    <row r="498" spans="4:9">
      <c r="D498" s="12"/>
      <c r="H498" s="15"/>
      <c r="I498" s="25"/>
    </row>
    <row r="499" spans="4:9">
      <c r="D499" s="12"/>
      <c r="H499" s="15"/>
      <c r="I499" s="25"/>
    </row>
    <row r="500" spans="4:9">
      <c r="D500" s="12"/>
      <c r="H500" s="15"/>
      <c r="I500" s="25"/>
    </row>
    <row r="501" spans="4:9">
      <c r="D501" s="12"/>
      <c r="H501" s="15"/>
      <c r="I501" s="25"/>
    </row>
    <row r="502" spans="4:9">
      <c r="D502" s="12"/>
      <c r="H502" s="15"/>
      <c r="I502" s="25"/>
    </row>
    <row r="503" spans="4:9">
      <c r="D503" s="12"/>
      <c r="H503" s="15"/>
      <c r="I503" s="25"/>
    </row>
    <row r="504" spans="4:9">
      <c r="D504" s="12"/>
      <c r="H504" s="15"/>
      <c r="I504" s="25"/>
    </row>
    <row r="505" spans="4:9">
      <c r="D505" s="12"/>
      <c r="H505" s="15"/>
      <c r="I505" s="25"/>
    </row>
    <row r="506" spans="4:9">
      <c r="D506" s="12"/>
      <c r="H506" s="15"/>
      <c r="I506" s="25"/>
    </row>
    <row r="507" spans="4:9">
      <c r="D507" s="12"/>
      <c r="H507" s="15"/>
      <c r="I507" s="25"/>
    </row>
    <row r="508" spans="4:9">
      <c r="D508" s="12"/>
      <c r="H508" s="15"/>
      <c r="I508" s="25"/>
    </row>
    <row r="509" spans="4:9">
      <c r="D509" s="12"/>
      <c r="H509" s="15"/>
      <c r="I509" s="25"/>
    </row>
    <row r="510" spans="4:9">
      <c r="D510" s="12"/>
      <c r="H510" s="15"/>
      <c r="I510" s="25"/>
    </row>
    <row r="511" spans="4:9">
      <c r="D511" s="12"/>
      <c r="H511" s="15"/>
      <c r="I511" s="25"/>
    </row>
    <row r="512" spans="4:9">
      <c r="D512" s="12"/>
      <c r="H512" s="15"/>
      <c r="I512" s="25"/>
    </row>
    <row r="513" spans="4:9">
      <c r="D513" s="12"/>
      <c r="H513" s="15"/>
      <c r="I513" s="25"/>
    </row>
    <row r="514" spans="4:9">
      <c r="D514" s="12"/>
      <c r="H514" s="15"/>
      <c r="I514" s="25"/>
    </row>
    <row r="515" spans="4:9">
      <c r="D515" s="12"/>
      <c r="H515" s="15"/>
      <c r="I515" s="25"/>
    </row>
    <row r="516" spans="4:9">
      <c r="D516" s="12"/>
      <c r="H516" s="15"/>
      <c r="I516" s="25"/>
    </row>
    <row r="517" spans="4:9">
      <c r="D517" s="12"/>
      <c r="H517" s="15"/>
      <c r="I517" s="25"/>
    </row>
    <row r="518" spans="4:9">
      <c r="D518" s="12"/>
      <c r="H518" s="15"/>
      <c r="I518" s="25"/>
    </row>
    <row r="519" spans="4:9">
      <c r="D519" s="12"/>
      <c r="H519" s="15"/>
      <c r="I519" s="25"/>
    </row>
    <row r="520" spans="4:9">
      <c r="D520" s="12"/>
      <c r="H520" s="15"/>
      <c r="I520" s="25"/>
    </row>
    <row r="521" spans="4:9">
      <c r="D521" s="12"/>
      <c r="H521" s="15"/>
      <c r="I521" s="25"/>
    </row>
    <row r="522" spans="4:9">
      <c r="D522" s="12"/>
      <c r="H522" s="15"/>
      <c r="I522" s="25"/>
    </row>
    <row r="523" spans="4:9">
      <c r="D523" s="12"/>
      <c r="H523" s="15"/>
      <c r="I523" s="25"/>
    </row>
    <row r="524" spans="4:9">
      <c r="D524" s="12"/>
      <c r="H524" s="15"/>
      <c r="I524" s="25"/>
    </row>
    <row r="525" spans="4:9">
      <c r="D525" s="12"/>
      <c r="H525" s="15"/>
      <c r="I525" s="25"/>
    </row>
    <row r="526" spans="4:9">
      <c r="D526" s="12"/>
      <c r="H526" s="15"/>
      <c r="I526" s="25"/>
    </row>
    <row r="527" spans="4:9">
      <c r="D527" s="12"/>
      <c r="H527" s="15"/>
      <c r="I527" s="25"/>
    </row>
    <row r="528" spans="4:9">
      <c r="D528" s="12"/>
      <c r="H528" s="15"/>
      <c r="I528" s="25"/>
    </row>
    <row r="529" spans="4:9">
      <c r="D529" s="12"/>
      <c r="H529" s="15"/>
      <c r="I529" s="25"/>
    </row>
    <row r="530" spans="4:9">
      <c r="D530" s="12"/>
      <c r="H530" s="15"/>
      <c r="I530" s="25"/>
    </row>
    <row r="531" spans="4:9">
      <c r="D531" s="12"/>
      <c r="H531" s="15"/>
      <c r="I531" s="25"/>
    </row>
    <row r="532" spans="4:9">
      <c r="D532" s="12"/>
      <c r="H532" s="15"/>
      <c r="I532" s="25"/>
    </row>
    <row r="533" spans="4:9">
      <c r="D533" s="12"/>
      <c r="H533" s="15"/>
      <c r="I533" s="25"/>
    </row>
    <row r="534" spans="4:9">
      <c r="D534" s="12"/>
      <c r="H534" s="15"/>
      <c r="I534" s="25"/>
    </row>
    <row r="535" spans="4:9">
      <c r="D535" s="12"/>
      <c r="H535" s="15"/>
      <c r="I535" s="25"/>
    </row>
    <row r="536" spans="4:9">
      <c r="D536" s="12"/>
      <c r="H536" s="15"/>
      <c r="I536" s="25"/>
    </row>
    <row r="537" spans="4:9">
      <c r="D537" s="12"/>
      <c r="H537" s="15"/>
      <c r="I537" s="25"/>
    </row>
    <row r="538" spans="4:9">
      <c r="D538" s="12"/>
      <c r="H538" s="15"/>
      <c r="I538" s="25"/>
    </row>
    <row r="539" spans="4:9">
      <c r="D539" s="12"/>
      <c r="H539" s="15"/>
      <c r="I539" s="25"/>
    </row>
    <row r="540" spans="4:9">
      <c r="D540" s="12"/>
      <c r="H540" s="15"/>
      <c r="I540" s="25"/>
    </row>
    <row r="541" spans="4:9">
      <c r="D541" s="12"/>
      <c r="H541" s="15"/>
      <c r="I541" s="25"/>
    </row>
    <row r="542" spans="4:9">
      <c r="D542" s="12"/>
      <c r="H542" s="15"/>
      <c r="I542" s="25"/>
    </row>
    <row r="543" spans="4:9">
      <c r="D543" s="12"/>
      <c r="H543" s="15"/>
      <c r="I543" s="25"/>
    </row>
    <row r="544" spans="4:9">
      <c r="D544" s="12"/>
      <c r="H544" s="15"/>
      <c r="I544" s="25"/>
    </row>
    <row r="545" spans="4:9">
      <c r="D545" s="12"/>
      <c r="H545" s="15"/>
      <c r="I545" s="25"/>
    </row>
    <row r="546" spans="4:9">
      <c r="D546" s="12"/>
      <c r="H546" s="15"/>
      <c r="I546" s="25"/>
    </row>
    <row r="547" spans="4:9">
      <c r="D547" s="12"/>
      <c r="H547" s="15"/>
      <c r="I547" s="25"/>
    </row>
    <row r="548" spans="4:9">
      <c r="D548" s="12"/>
      <c r="H548" s="15"/>
      <c r="I548" s="25"/>
    </row>
    <row r="549" spans="4:9">
      <c r="D549" s="12"/>
      <c r="H549" s="15"/>
      <c r="I549" s="25"/>
    </row>
    <row r="550" spans="4:9">
      <c r="D550" s="12"/>
      <c r="H550" s="15"/>
      <c r="I550" s="25"/>
    </row>
    <row r="551" spans="4:9">
      <c r="D551" s="12"/>
      <c r="H551" s="15"/>
      <c r="I551" s="25"/>
    </row>
    <row r="552" spans="4:9">
      <c r="D552" s="12"/>
      <c r="H552" s="15"/>
      <c r="I552" s="25"/>
    </row>
    <row r="553" spans="4:9">
      <c r="D553" s="12"/>
      <c r="H553" s="15"/>
      <c r="I553" s="25"/>
    </row>
    <row r="554" spans="4:9">
      <c r="D554" s="12"/>
      <c r="H554" s="15"/>
      <c r="I554" s="25"/>
    </row>
    <row r="555" spans="4:9">
      <c r="D555" s="12"/>
      <c r="H555" s="15"/>
      <c r="I555" s="25"/>
    </row>
    <row r="556" spans="4:9">
      <c r="D556" s="12"/>
      <c r="H556" s="15"/>
      <c r="I556" s="25"/>
    </row>
    <row r="557" spans="4:9">
      <c r="D557" s="12"/>
      <c r="H557" s="15"/>
      <c r="I557" s="25"/>
    </row>
    <row r="558" spans="4:9">
      <c r="D558" s="12"/>
      <c r="H558" s="15"/>
      <c r="I558" s="25"/>
    </row>
    <row r="559" spans="4:9">
      <c r="D559" s="12"/>
      <c r="H559" s="15"/>
      <c r="I559" s="25"/>
    </row>
    <row r="560" spans="4:9">
      <c r="D560" s="12"/>
      <c r="H560" s="15"/>
      <c r="I560" s="25"/>
    </row>
    <row r="561" spans="4:9">
      <c r="D561" s="12"/>
      <c r="H561" s="15"/>
      <c r="I561" s="25"/>
    </row>
    <row r="562" spans="4:9">
      <c r="D562" s="12"/>
      <c r="H562" s="15"/>
      <c r="I562" s="25"/>
    </row>
    <row r="563" spans="4:9">
      <c r="D563" s="12"/>
      <c r="H563" s="15"/>
      <c r="I563" s="25"/>
    </row>
    <row r="564" spans="4:9">
      <c r="D564" s="12"/>
      <c r="H564" s="15"/>
      <c r="I564" s="25"/>
    </row>
    <row r="565" spans="4:9">
      <c r="D565" s="12"/>
      <c r="H565" s="15"/>
      <c r="I565" s="25"/>
    </row>
    <row r="566" spans="4:9">
      <c r="D566" s="12"/>
      <c r="H566" s="15"/>
      <c r="I566" s="25"/>
    </row>
    <row r="567" spans="4:9">
      <c r="D567" s="12"/>
      <c r="H567" s="15"/>
      <c r="I567" s="25"/>
    </row>
    <row r="568" spans="4:9">
      <c r="D568" s="12"/>
      <c r="H568" s="15"/>
      <c r="I568" s="25"/>
    </row>
    <row r="569" spans="4:9">
      <c r="D569" s="12"/>
      <c r="H569" s="15"/>
      <c r="I569" s="25"/>
    </row>
    <row r="570" spans="4:9">
      <c r="D570" s="12"/>
      <c r="H570" s="15"/>
      <c r="I570" s="25"/>
    </row>
    <row r="571" spans="4:9">
      <c r="D571" s="12"/>
      <c r="H571" s="15"/>
      <c r="I571" s="25"/>
    </row>
    <row r="572" spans="4:9">
      <c r="D572" s="12"/>
      <c r="H572" s="15"/>
      <c r="I572" s="25"/>
    </row>
    <row r="573" spans="4:9">
      <c r="D573" s="12"/>
      <c r="H573" s="15"/>
      <c r="I573" s="25"/>
    </row>
    <row r="574" spans="4:9">
      <c r="D574" s="12"/>
      <c r="H574" s="15"/>
      <c r="I574" s="25"/>
    </row>
    <row r="575" spans="4:9">
      <c r="D575" s="12"/>
      <c r="H575" s="15"/>
      <c r="I575" s="25"/>
    </row>
    <row r="576" spans="4:9">
      <c r="D576" s="12"/>
      <c r="H576" s="15"/>
      <c r="I576" s="25"/>
    </row>
    <row r="577" spans="4:9">
      <c r="D577" s="12"/>
      <c r="H577" s="15"/>
      <c r="I577" s="25"/>
    </row>
    <row r="578" spans="4:9">
      <c r="D578" s="12"/>
      <c r="H578" s="15"/>
      <c r="I578" s="25"/>
    </row>
    <row r="579" spans="4:9">
      <c r="D579" s="12"/>
      <c r="H579" s="15"/>
      <c r="I579" s="25"/>
    </row>
    <row r="580" spans="4:9">
      <c r="D580" s="12"/>
      <c r="H580" s="15"/>
      <c r="I580" s="25"/>
    </row>
    <row r="581" spans="4:9">
      <c r="D581" s="12"/>
      <c r="H581" s="15"/>
      <c r="I581" s="25"/>
    </row>
    <row r="582" spans="4:9">
      <c r="D582" s="12"/>
      <c r="H582" s="15"/>
      <c r="I582" s="25"/>
    </row>
    <row r="583" spans="4:9">
      <c r="D583" s="12"/>
      <c r="H583" s="15"/>
      <c r="I583" s="25"/>
    </row>
    <row r="584" spans="4:9">
      <c r="D584" s="12"/>
      <c r="H584" s="15"/>
      <c r="I584" s="25"/>
    </row>
    <row r="585" spans="4:9">
      <c r="D585" s="12"/>
      <c r="H585" s="15"/>
      <c r="I585" s="25"/>
    </row>
    <row r="586" spans="4:9">
      <c r="D586" s="12"/>
      <c r="H586" s="15"/>
      <c r="I586" s="25"/>
    </row>
    <row r="587" spans="4:9">
      <c r="D587" s="12"/>
      <c r="H587" s="15"/>
      <c r="I587" s="25"/>
    </row>
    <row r="588" spans="4:9">
      <c r="D588" s="12"/>
      <c r="H588" s="15"/>
      <c r="I588" s="25"/>
    </row>
    <row r="589" spans="4:9">
      <c r="D589" s="12"/>
      <c r="H589" s="15"/>
      <c r="I589" s="25"/>
    </row>
    <row r="590" spans="4:9">
      <c r="D590" s="12"/>
      <c r="H590" s="15"/>
      <c r="I590" s="25"/>
    </row>
    <row r="591" spans="4:9">
      <c r="D591" s="12"/>
      <c r="H591" s="15"/>
      <c r="I591" s="25"/>
    </row>
    <row r="592" spans="4:9">
      <c r="D592" s="12"/>
      <c r="H592" s="15"/>
      <c r="I592" s="25"/>
    </row>
    <row r="593" spans="4:9">
      <c r="D593" s="12"/>
      <c r="H593" s="15"/>
      <c r="I593" s="25"/>
    </row>
    <row r="594" spans="4:9">
      <c r="D594" s="12"/>
      <c r="H594" s="15"/>
      <c r="I594" s="25"/>
    </row>
    <row r="595" spans="4:9">
      <c r="D595" s="12"/>
      <c r="H595" s="15"/>
      <c r="I595" s="25"/>
    </row>
    <row r="596" spans="4:9">
      <c r="D596" s="12"/>
      <c r="H596" s="15"/>
      <c r="I596" s="25"/>
    </row>
    <row r="597" spans="4:9">
      <c r="D597" s="12"/>
      <c r="H597" s="15"/>
      <c r="I597" s="25"/>
    </row>
    <row r="598" spans="4:9">
      <c r="D598" s="12"/>
      <c r="H598" s="15"/>
      <c r="I598" s="25"/>
    </row>
    <row r="599" spans="4:9">
      <c r="D599" s="12"/>
      <c r="H599" s="15"/>
      <c r="I599" s="25"/>
    </row>
    <row r="600" spans="4:9">
      <c r="D600" s="12"/>
      <c r="H600" s="15"/>
      <c r="I600" s="25"/>
    </row>
    <row r="601" spans="4:9">
      <c r="D601" s="12"/>
      <c r="H601" s="15"/>
      <c r="I601" s="25"/>
    </row>
    <row r="602" spans="4:9">
      <c r="D602" s="12"/>
      <c r="H602" s="15"/>
      <c r="I602" s="25"/>
    </row>
    <row r="603" spans="4:9">
      <c r="D603" s="12"/>
      <c r="H603" s="15"/>
      <c r="I603" s="25"/>
    </row>
    <row r="604" spans="4:9">
      <c r="D604" s="12"/>
      <c r="H604" s="15"/>
      <c r="I604" s="25"/>
    </row>
    <row r="605" spans="4:9">
      <c r="D605" s="12"/>
      <c r="H605" s="15"/>
      <c r="I605" s="25"/>
    </row>
    <row r="606" spans="4:9">
      <c r="D606" s="12"/>
      <c r="H606" s="15"/>
      <c r="I606" s="25"/>
    </row>
    <row r="607" spans="4:9">
      <c r="D607" s="12"/>
      <c r="H607" s="15"/>
      <c r="I607" s="25"/>
    </row>
    <row r="608" spans="4:9">
      <c r="D608" s="12"/>
      <c r="H608" s="15"/>
      <c r="I608" s="25"/>
    </row>
    <row r="609" spans="4:9">
      <c r="D609" s="12"/>
      <c r="H609" s="15"/>
      <c r="I609" s="25"/>
    </row>
    <row r="610" spans="4:9">
      <c r="D610" s="12"/>
      <c r="H610" s="15"/>
      <c r="I610" s="25"/>
    </row>
    <row r="611" spans="4:9">
      <c r="D611" s="12"/>
      <c r="H611" s="15"/>
      <c r="I611" s="25"/>
    </row>
    <row r="612" spans="4:9">
      <c r="D612" s="12"/>
      <c r="H612" s="15"/>
      <c r="I612" s="25"/>
    </row>
    <row r="613" spans="4:9">
      <c r="D613" s="12"/>
      <c r="H613" s="15"/>
      <c r="I613" s="25"/>
    </row>
    <row r="614" spans="4:9">
      <c r="D614" s="12"/>
      <c r="H614" s="15"/>
      <c r="I614" s="25"/>
    </row>
    <row r="615" spans="4:9">
      <c r="D615" s="12"/>
      <c r="H615" s="15"/>
      <c r="I615" s="25"/>
    </row>
    <row r="616" spans="4:9">
      <c r="D616" s="12"/>
      <c r="H616" s="15"/>
      <c r="I616" s="25"/>
    </row>
    <row r="617" spans="4:9">
      <c r="D617" s="12"/>
      <c r="H617" s="15"/>
      <c r="I617" s="25"/>
    </row>
    <row r="618" spans="4:9">
      <c r="D618" s="12"/>
      <c r="H618" s="15"/>
      <c r="I618" s="25"/>
    </row>
    <row r="619" spans="4:9">
      <c r="D619" s="12"/>
      <c r="H619" s="15"/>
      <c r="I619" s="25"/>
    </row>
    <row r="620" spans="4:9">
      <c r="D620" s="12"/>
      <c r="H620" s="15"/>
      <c r="I620" s="25"/>
    </row>
    <row r="621" spans="4:9">
      <c r="D621" s="12"/>
      <c r="H621" s="15"/>
      <c r="I621" s="25"/>
    </row>
    <row r="622" spans="4:9">
      <c r="D622" s="12"/>
      <c r="H622" s="15"/>
      <c r="I622" s="25"/>
    </row>
    <row r="623" spans="4:9">
      <c r="D623" s="12"/>
      <c r="H623" s="15"/>
      <c r="I623" s="25"/>
    </row>
    <row r="624" spans="4:9">
      <c r="D624" s="12"/>
      <c r="H624" s="15"/>
      <c r="I624" s="25"/>
    </row>
    <row r="625" spans="4:9">
      <c r="D625" s="12"/>
      <c r="H625" s="15"/>
      <c r="I625" s="25"/>
    </row>
    <row r="626" spans="4:9">
      <c r="D626" s="12"/>
      <c r="H626" s="15"/>
      <c r="I626" s="25"/>
    </row>
    <row r="627" spans="4:9">
      <c r="D627" s="12"/>
      <c r="H627" s="15"/>
      <c r="I627" s="25"/>
    </row>
    <row r="628" spans="4:9">
      <c r="D628" s="12"/>
      <c r="H628" s="15"/>
      <c r="I628" s="25"/>
    </row>
    <row r="629" spans="4:9">
      <c r="D629" s="12"/>
      <c r="H629" s="15"/>
      <c r="I629" s="25"/>
    </row>
    <row r="630" spans="4:9">
      <c r="D630" s="12"/>
      <c r="H630" s="15"/>
      <c r="I630" s="25"/>
    </row>
    <row r="631" spans="4:9">
      <c r="D631" s="12"/>
      <c r="H631" s="15"/>
      <c r="I631" s="25"/>
    </row>
    <row r="632" spans="4:9">
      <c r="D632" s="12"/>
      <c r="H632" s="15"/>
      <c r="I632" s="25"/>
    </row>
    <row r="633" spans="4:9">
      <c r="D633" s="12"/>
      <c r="H633" s="15"/>
      <c r="I633" s="25"/>
    </row>
    <row r="634" spans="4:9">
      <c r="D634" s="12"/>
      <c r="H634" s="15"/>
      <c r="I634" s="25"/>
    </row>
    <row r="635" spans="4:9">
      <c r="D635" s="12"/>
      <c r="H635" s="15"/>
      <c r="I635" s="25"/>
    </row>
    <row r="636" spans="4:9">
      <c r="D636" s="12"/>
      <c r="H636" s="15"/>
      <c r="I636" s="25"/>
    </row>
    <row r="637" spans="4:9">
      <c r="D637" s="12"/>
      <c r="H637" s="15"/>
      <c r="I637" s="25"/>
    </row>
    <row r="638" spans="4:9">
      <c r="D638" s="12"/>
      <c r="H638" s="15"/>
      <c r="I638" s="25"/>
    </row>
    <row r="639" spans="4:9">
      <c r="D639" s="12"/>
      <c r="H639" s="15"/>
      <c r="I639" s="25"/>
    </row>
    <row r="640" spans="4:9">
      <c r="D640" s="12"/>
      <c r="H640" s="15"/>
      <c r="I640" s="25"/>
    </row>
    <row r="641" spans="4:9">
      <c r="D641" s="12"/>
      <c r="H641" s="15"/>
      <c r="I641" s="25"/>
    </row>
    <row r="642" spans="4:9">
      <c r="D642" s="12"/>
      <c r="H642" s="15"/>
      <c r="I642" s="25"/>
    </row>
    <row r="643" spans="4:9">
      <c r="D643" s="12"/>
      <c r="H643" s="15"/>
      <c r="I643" s="25"/>
    </row>
    <row r="644" spans="4:9">
      <c r="D644" s="12"/>
      <c r="H644" s="15"/>
      <c r="I644" s="25"/>
    </row>
    <row r="645" spans="4:9">
      <c r="D645" s="12"/>
      <c r="H645" s="15"/>
      <c r="I645" s="25"/>
    </row>
    <row r="646" spans="4:9">
      <c r="D646" s="12"/>
      <c r="H646" s="15"/>
      <c r="I646" s="25"/>
    </row>
    <row r="647" spans="4:9">
      <c r="D647" s="12"/>
      <c r="H647" s="15"/>
      <c r="I647" s="25"/>
    </row>
    <row r="648" spans="4:9">
      <c r="D648" s="12"/>
      <c r="H648" s="15"/>
      <c r="I648" s="25"/>
    </row>
    <row r="649" spans="4:9">
      <c r="D649" s="12"/>
      <c r="H649" s="15"/>
      <c r="I649" s="25"/>
    </row>
    <row r="650" spans="4:9">
      <c r="D650" s="12"/>
      <c r="H650" s="15"/>
      <c r="I650" s="25"/>
    </row>
    <row r="651" spans="4:9">
      <c r="D651" s="12"/>
      <c r="H651" s="15"/>
      <c r="I651" s="25"/>
    </row>
    <row r="652" spans="4:9">
      <c r="D652" s="12"/>
      <c r="H652" s="15"/>
      <c r="I652" s="25"/>
    </row>
    <row r="653" spans="4:9">
      <c r="D653" s="12"/>
      <c r="H653" s="15"/>
      <c r="I653" s="25"/>
    </row>
    <row r="654" spans="4:9">
      <c r="D654" s="12"/>
      <c r="H654" s="15"/>
      <c r="I654" s="25"/>
    </row>
    <row r="655" spans="4:9">
      <c r="D655" s="12"/>
      <c r="H655" s="15"/>
      <c r="I655" s="25"/>
    </row>
    <row r="656" spans="4:9">
      <c r="D656" s="12"/>
      <c r="H656" s="15"/>
      <c r="I656" s="25"/>
    </row>
    <row r="657" spans="4:9">
      <c r="D657" s="12"/>
      <c r="H657" s="15"/>
      <c r="I657" s="25"/>
    </row>
    <row r="658" spans="4:9">
      <c r="D658" s="12"/>
      <c r="H658" s="15"/>
      <c r="I658" s="25"/>
    </row>
    <row r="659" spans="4:9">
      <c r="D659" s="12"/>
      <c r="H659" s="15"/>
      <c r="I659" s="25"/>
    </row>
    <row r="660" spans="4:9">
      <c r="D660" s="12"/>
      <c r="H660" s="15"/>
      <c r="I660" s="25"/>
    </row>
    <row r="661" spans="4:9">
      <c r="D661" s="12"/>
      <c r="H661" s="15"/>
      <c r="I661" s="25"/>
    </row>
    <row r="662" spans="4:9">
      <c r="D662" s="12"/>
      <c r="H662" s="15"/>
      <c r="I662" s="25"/>
    </row>
    <row r="663" spans="4:9">
      <c r="D663" s="12"/>
      <c r="H663" s="15"/>
      <c r="I663" s="25"/>
    </row>
    <row r="664" spans="4:9">
      <c r="D664" s="12"/>
      <c r="H664" s="15"/>
      <c r="I664" s="25"/>
    </row>
    <row r="665" spans="4:9">
      <c r="D665" s="12"/>
      <c r="H665" s="15"/>
      <c r="I665" s="25"/>
    </row>
    <row r="666" spans="4:9">
      <c r="D666" s="12"/>
      <c r="H666" s="15"/>
      <c r="I666" s="25"/>
    </row>
    <row r="667" spans="4:9">
      <c r="D667" s="12"/>
      <c r="H667" s="15"/>
      <c r="I667" s="25"/>
    </row>
    <row r="668" spans="4:9">
      <c r="D668" s="12"/>
      <c r="H668" s="15"/>
      <c r="I668" s="25"/>
    </row>
    <row r="669" spans="4:9">
      <c r="D669" s="12"/>
      <c r="H669" s="15"/>
      <c r="I669" s="25"/>
    </row>
    <row r="670" spans="4:9">
      <c r="D670" s="12"/>
      <c r="H670" s="15"/>
      <c r="I670" s="25"/>
    </row>
    <row r="671" spans="4:9">
      <c r="D671" s="12"/>
      <c r="H671" s="15"/>
      <c r="I671" s="25"/>
    </row>
    <row r="672" spans="4:9">
      <c r="D672" s="12"/>
      <c r="H672" s="15"/>
      <c r="I672" s="25"/>
    </row>
    <row r="673" spans="4:9">
      <c r="D673" s="12"/>
      <c r="H673" s="15"/>
      <c r="I673" s="25"/>
    </row>
    <row r="674" spans="4:9">
      <c r="D674" s="12"/>
      <c r="H674" s="15"/>
      <c r="I674" s="25"/>
    </row>
    <row r="675" spans="4:9">
      <c r="D675" s="12"/>
      <c r="H675" s="15"/>
      <c r="I675" s="25"/>
    </row>
    <row r="676" spans="4:9">
      <c r="D676" s="12"/>
      <c r="H676" s="15"/>
      <c r="I676" s="25"/>
    </row>
    <row r="677" spans="4:9">
      <c r="D677" s="12"/>
      <c r="H677" s="15"/>
      <c r="I677" s="25"/>
    </row>
    <row r="678" spans="4:9">
      <c r="D678" s="12"/>
      <c r="H678" s="15"/>
      <c r="I678" s="25"/>
    </row>
    <row r="679" spans="4:9">
      <c r="D679" s="12"/>
      <c r="H679" s="15"/>
      <c r="I679" s="25"/>
    </row>
    <row r="680" spans="4:9">
      <c r="D680" s="12"/>
      <c r="H680" s="15"/>
      <c r="I680" s="25"/>
    </row>
    <row r="681" spans="4:9">
      <c r="D681" s="12"/>
      <c r="H681" s="15"/>
      <c r="I681" s="25"/>
    </row>
    <row r="682" spans="4:9">
      <c r="D682" s="12"/>
      <c r="H682" s="15"/>
      <c r="I682" s="25"/>
    </row>
    <row r="683" spans="4:9">
      <c r="D683" s="12"/>
      <c r="H683" s="15"/>
      <c r="I683" s="25"/>
    </row>
    <row r="684" spans="4:9">
      <c r="D684" s="12"/>
      <c r="H684" s="15"/>
      <c r="I684" s="25"/>
    </row>
    <row r="685" spans="4:9">
      <c r="D685" s="12"/>
      <c r="H685" s="15"/>
      <c r="I685" s="25"/>
    </row>
    <row r="686" spans="4:9">
      <c r="D686" s="12"/>
      <c r="H686" s="15"/>
      <c r="I686" s="25"/>
    </row>
    <row r="687" spans="4:9">
      <c r="D687" s="12"/>
      <c r="H687" s="15"/>
      <c r="I687" s="25"/>
    </row>
    <row r="688" spans="4:9">
      <c r="D688" s="12"/>
      <c r="H688" s="15"/>
      <c r="I688" s="25"/>
    </row>
    <row r="689" spans="4:9">
      <c r="D689" s="12"/>
      <c r="H689" s="15"/>
      <c r="I689" s="25"/>
    </row>
    <row r="690" spans="4:9">
      <c r="D690" s="12"/>
      <c r="H690" s="15"/>
      <c r="I690" s="25"/>
    </row>
    <row r="691" spans="4:9">
      <c r="D691" s="12"/>
      <c r="H691" s="15"/>
      <c r="I691" s="25"/>
    </row>
    <row r="692" spans="4:9">
      <c r="D692" s="12"/>
      <c r="H692" s="15"/>
      <c r="I692" s="25"/>
    </row>
    <row r="693" spans="4:9">
      <c r="D693" s="12"/>
      <c r="H693" s="15"/>
      <c r="I693" s="25"/>
    </row>
    <row r="694" spans="4:9">
      <c r="D694" s="12"/>
      <c r="H694" s="15"/>
      <c r="I694" s="25"/>
    </row>
    <row r="695" spans="4:9">
      <c r="D695" s="12"/>
      <c r="H695" s="15"/>
      <c r="I695" s="25"/>
    </row>
    <row r="696" spans="4:9">
      <c r="D696" s="12"/>
      <c r="H696" s="15"/>
      <c r="I696" s="25"/>
    </row>
    <row r="697" spans="4:9">
      <c r="D697" s="12"/>
      <c r="H697" s="15"/>
      <c r="I697" s="25"/>
    </row>
    <row r="698" spans="4:9">
      <c r="D698" s="12"/>
      <c r="H698" s="15"/>
      <c r="I698" s="25"/>
    </row>
    <row r="699" spans="4:9">
      <c r="D699" s="12"/>
      <c r="H699" s="15"/>
      <c r="I699" s="25"/>
    </row>
    <row r="700" spans="4:9">
      <c r="D700" s="12"/>
      <c r="H700" s="15"/>
      <c r="I700" s="25"/>
    </row>
    <row r="701" spans="4:9">
      <c r="D701" s="12"/>
      <c r="H701" s="15"/>
      <c r="I701" s="25"/>
    </row>
    <row r="702" spans="4:9">
      <c r="D702" s="12"/>
      <c r="H702" s="15"/>
      <c r="I702" s="25"/>
    </row>
    <row r="703" spans="4:9">
      <c r="D703" s="12"/>
      <c r="H703" s="15"/>
      <c r="I703" s="25"/>
    </row>
    <row r="704" spans="4:9">
      <c r="D704" s="12"/>
      <c r="H704" s="15"/>
      <c r="I704" s="25"/>
    </row>
    <row r="705" spans="4:9">
      <c r="D705" s="12"/>
      <c r="H705" s="15"/>
      <c r="I705" s="25"/>
    </row>
    <row r="706" spans="4:9">
      <c r="D706" s="12"/>
      <c r="H706" s="15"/>
      <c r="I706" s="25"/>
    </row>
    <row r="707" spans="4:9">
      <c r="D707" s="12"/>
      <c r="H707" s="15"/>
      <c r="I707" s="25"/>
    </row>
    <row r="708" spans="4:9">
      <c r="D708" s="12"/>
      <c r="H708" s="15"/>
      <c r="I708" s="25"/>
    </row>
    <row r="709" spans="4:9">
      <c r="D709" s="12"/>
      <c r="H709" s="15"/>
      <c r="I709" s="25"/>
    </row>
    <row r="710" spans="4:9">
      <c r="D710" s="12"/>
      <c r="H710" s="15"/>
      <c r="I710" s="25"/>
    </row>
    <row r="711" spans="4:9">
      <c r="D711" s="12"/>
      <c r="H711" s="15"/>
      <c r="I711" s="25"/>
    </row>
    <row r="712" spans="4:9">
      <c r="D712" s="12"/>
      <c r="H712" s="15"/>
      <c r="I712" s="25"/>
    </row>
    <row r="713" spans="4:9">
      <c r="D713" s="12"/>
      <c r="H713" s="15"/>
      <c r="I713" s="25"/>
    </row>
    <row r="714" spans="4:9">
      <c r="D714" s="12"/>
      <c r="H714" s="15"/>
      <c r="I714" s="25"/>
    </row>
    <row r="715" spans="4:9">
      <c r="D715" s="12"/>
      <c r="H715" s="15"/>
      <c r="I715" s="25"/>
    </row>
    <row r="716" spans="4:9">
      <c r="D716" s="12"/>
      <c r="H716" s="15"/>
      <c r="I716" s="25"/>
    </row>
    <row r="717" spans="4:9">
      <c r="D717" s="12"/>
      <c r="H717" s="15"/>
      <c r="I717" s="25"/>
    </row>
    <row r="718" spans="4:9">
      <c r="D718" s="12"/>
      <c r="H718" s="15"/>
      <c r="I718" s="25"/>
    </row>
    <row r="719" spans="4:9">
      <c r="D719" s="12"/>
      <c r="H719" s="15"/>
      <c r="I719" s="25"/>
    </row>
  </sheetData>
  <autoFilter ref="B3:AF3" xr:uid="{00000000-0009-0000-0000-000004000000}"/>
  <conditionalFormatting sqref="I3:I38">
    <cfRule type="cellIs" dxfId="13" priority="12" operator="equal">
      <formula>"OK but improveable"</formula>
    </cfRule>
    <cfRule type="containsText" dxfId="12" priority="13" operator="containsText" text="Not tested, not relevant, but should be ok">
      <formula>NOT(ISERROR(SEARCH(("Not tested, not relevant, but should be ok"),(I3))))</formula>
    </cfRule>
    <cfRule type="cellIs" dxfId="11" priority="14" operator="equal">
      <formula>"not working but not relvant"</formula>
    </cfRule>
  </conditionalFormatting>
  <conditionalFormatting sqref="I4:I38">
    <cfRule type="cellIs" dxfId="10" priority="1" operator="equal">
      <formula>"OK"</formula>
    </cfRule>
    <cfRule type="cellIs" dxfId="9" priority="2" operator="equal">
      <formula>"Working but not fully tested"</formula>
    </cfRule>
    <cfRule type="cellIs" dxfId="8" priority="3" operator="equal">
      <formula>"random issues"</formula>
    </cfRule>
    <cfRule type="cellIs" dxfId="7" priority="4" operator="equal">
      <formula>"not working"</formula>
    </cfRule>
    <cfRule type="cellIs" dxfId="6" priority="5" operator="equal">
      <formula>"solvable issue"</formula>
    </cfRule>
    <cfRule type="cellIs" dxfId="5" priority="6" operator="equal">
      <formula>"repeatable issue"</formula>
    </cfRule>
    <cfRule type="cellIs" dxfId="4" priority="7" operator="equal">
      <formula>"OOR-Test OK"</formula>
    </cfRule>
    <cfRule type="cellIs" dxfId="3" priority="8" operator="equal">
      <formula>"not measured, but should be ok"</formula>
    </cfRule>
    <cfRule type="cellIs" dxfId="2" priority="9" operator="equal">
      <formula>"tested but inaccurate"</formula>
    </cfRule>
    <cfRule type="cellIs" dxfId="1" priority="10" operator="equal">
      <formula>"tested but inaccurate, not important"</formula>
    </cfRule>
    <cfRule type="cellIs" dxfId="0" priority="11" operator="equal">
      <formula>"OK, preliminary"</formula>
    </cfRule>
  </conditionalFormatting>
  <dataValidations count="1">
    <dataValidation type="list" allowBlank="1" sqref="I4:I38" xr:uid="{00000000-0002-0000-0400-000000000000}">
      <formula1>"OK,OK but improveable,Working but not fully tested,OK, improveable,  doesn't matter,solvable issue,repeatable issue,random issues,not working,Not tested, not relevant, but should be ok,Not tested yet,not working but not relvant,not measured, but should be"&amp;" ok,tested but inaccurate,tested but inaccurate, not important,OK, preliminary"</formula1>
    </dataValidation>
  </dataValidations>
  <printOptions horizontalCentered="1" gridLines="1"/>
  <pageMargins left="0.7" right="0.7" top="0.75" bottom="0.75" header="0" footer="0"/>
  <pageSetup paperSize="9" scale="55" pageOrder="overThenDown" orientation="landscape" cellComments="atEnd"/>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M103"/>
  <sheetViews>
    <sheetView workbookViewId="0"/>
  </sheetViews>
  <sheetFormatPr defaultColWidth="12.7109375" defaultRowHeight="15.75" customHeight="1"/>
  <cols>
    <col min="1" max="1" width="24.85546875" customWidth="1"/>
    <col min="2" max="2" width="10.42578125" customWidth="1"/>
    <col min="3" max="3" width="11" customWidth="1"/>
    <col min="4" max="4" width="10.28515625" customWidth="1"/>
    <col min="5" max="5" width="12" customWidth="1"/>
    <col min="6" max="6" width="9.85546875" customWidth="1"/>
    <col min="7" max="8" width="11.7109375" customWidth="1"/>
    <col min="9" max="9" width="9.7109375" customWidth="1"/>
    <col min="11" max="11" width="15.7109375" customWidth="1"/>
    <col min="18" max="18" width="17.28515625" customWidth="1"/>
  </cols>
  <sheetData>
    <row r="1" spans="1:39">
      <c r="A1" s="11" t="s">
        <v>407</v>
      </c>
      <c r="C1" s="61"/>
      <c r="D1" s="25"/>
      <c r="E1" s="25"/>
      <c r="F1" s="25"/>
      <c r="G1" s="25"/>
      <c r="H1" s="25"/>
      <c r="I1" s="62"/>
      <c r="J1" s="25"/>
      <c r="K1" s="61"/>
      <c r="L1" s="63"/>
      <c r="M1" s="54"/>
      <c r="N1" s="54"/>
      <c r="O1" s="64"/>
      <c r="P1" s="63"/>
    </row>
    <row r="2" spans="1:39">
      <c r="A2" s="3" t="s">
        <v>408</v>
      </c>
      <c r="C2" s="61"/>
      <c r="D2" s="25"/>
      <c r="E2" s="25"/>
      <c r="F2" s="25"/>
      <c r="G2" s="25"/>
      <c r="H2" s="25"/>
      <c r="I2" s="62"/>
      <c r="J2" s="25"/>
      <c r="K2" s="61"/>
      <c r="L2" s="63"/>
      <c r="M2" s="54"/>
      <c r="N2" s="54"/>
      <c r="O2" s="64"/>
      <c r="P2" s="63"/>
    </row>
    <row r="3" spans="1:39">
      <c r="A3" s="14" t="s">
        <v>409</v>
      </c>
      <c r="C3" s="61"/>
      <c r="D3" s="25"/>
      <c r="E3" s="25"/>
      <c r="F3" s="25"/>
      <c r="G3" s="25"/>
      <c r="H3" s="25"/>
      <c r="I3" s="62"/>
      <c r="J3" s="25"/>
      <c r="K3" s="61"/>
      <c r="L3" s="63"/>
      <c r="M3" s="54"/>
      <c r="N3" s="54"/>
      <c r="O3" s="64"/>
      <c r="P3" s="63"/>
    </row>
    <row r="4" spans="1:39">
      <c r="A4" s="65" t="s">
        <v>410</v>
      </c>
      <c r="B4" s="65"/>
      <c r="C4" s="66"/>
      <c r="D4" s="67"/>
      <c r="E4" s="67"/>
      <c r="F4" s="68" t="s">
        <v>411</v>
      </c>
      <c r="G4" s="69"/>
      <c r="H4" s="69"/>
      <c r="I4" s="398" t="s">
        <v>412</v>
      </c>
      <c r="J4" s="399"/>
      <c r="K4" s="399"/>
      <c r="L4" s="399"/>
      <c r="M4" s="399"/>
      <c r="N4" s="54"/>
      <c r="O4" s="64"/>
      <c r="P4" s="63"/>
    </row>
    <row r="5" spans="1:39">
      <c r="A5" s="14" t="s">
        <v>413</v>
      </c>
      <c r="C5" s="61"/>
      <c r="D5" s="25"/>
      <c r="E5" s="25"/>
      <c r="F5" s="25"/>
      <c r="G5" s="25"/>
      <c r="H5" s="25"/>
      <c r="I5" s="62"/>
      <c r="J5" s="25"/>
      <c r="K5" s="61"/>
      <c r="L5" s="63"/>
      <c r="M5" s="54"/>
      <c r="N5" s="54"/>
      <c r="O5" s="64"/>
      <c r="P5" s="63"/>
    </row>
    <row r="6" spans="1:39">
      <c r="A6" s="70" t="s">
        <v>414</v>
      </c>
      <c r="B6" s="71"/>
      <c r="C6" s="72"/>
      <c r="D6" s="73"/>
      <c r="E6" s="73"/>
      <c r="F6" s="73"/>
      <c r="G6" s="73"/>
      <c r="H6" s="73"/>
      <c r="I6" s="74"/>
      <c r="J6" s="73"/>
      <c r="K6" s="72"/>
      <c r="L6" s="63"/>
      <c r="M6" s="54"/>
      <c r="N6" s="54"/>
      <c r="O6" s="64"/>
      <c r="P6" s="63"/>
    </row>
    <row r="7" spans="1:39">
      <c r="A7" s="25"/>
      <c r="C7" s="61"/>
      <c r="D7" s="25"/>
      <c r="E7" s="25"/>
      <c r="F7" s="25"/>
      <c r="G7" s="25"/>
      <c r="H7" s="25"/>
      <c r="I7" s="62"/>
      <c r="J7" s="25"/>
      <c r="K7" s="61"/>
      <c r="L7" s="63"/>
      <c r="M7" s="54"/>
      <c r="N7" s="54"/>
      <c r="O7" s="64"/>
      <c r="P7" s="63"/>
    </row>
    <row r="8" spans="1:39">
      <c r="A8" s="16"/>
      <c r="B8" s="25"/>
      <c r="C8" s="61"/>
      <c r="D8" s="25"/>
      <c r="E8" s="25"/>
      <c r="F8" s="25"/>
      <c r="G8" s="25"/>
      <c r="H8" s="25"/>
      <c r="I8" s="62"/>
      <c r="J8" s="25"/>
      <c r="K8" s="61"/>
      <c r="L8" s="63"/>
      <c r="M8" s="54"/>
      <c r="N8" s="54"/>
      <c r="O8" s="64"/>
      <c r="P8" s="63"/>
    </row>
    <row r="9" spans="1:39">
      <c r="A9" s="16"/>
      <c r="B9" s="25"/>
      <c r="C9" s="61"/>
      <c r="D9" s="25"/>
      <c r="E9" s="25"/>
      <c r="F9" s="25"/>
      <c r="G9" s="25"/>
      <c r="H9" s="25"/>
      <c r="I9" s="62"/>
      <c r="J9" s="25"/>
      <c r="K9" s="61"/>
      <c r="L9" s="63"/>
      <c r="M9" s="54"/>
      <c r="N9" s="54"/>
      <c r="O9" s="64"/>
      <c r="P9" s="63"/>
    </row>
    <row r="10" spans="1:39">
      <c r="A10" s="75" t="s">
        <v>415</v>
      </c>
      <c r="B10" s="47" t="s">
        <v>416</v>
      </c>
      <c r="C10" s="47" t="s">
        <v>21</v>
      </c>
      <c r="D10" s="47" t="s">
        <v>417</v>
      </c>
      <c r="E10" s="52" t="s">
        <v>418</v>
      </c>
      <c r="F10" s="76" t="s">
        <v>419</v>
      </c>
      <c r="G10" s="47" t="s">
        <v>420</v>
      </c>
      <c r="H10" s="77" t="s">
        <v>421</v>
      </c>
      <c r="I10" s="76" t="s">
        <v>422</v>
      </c>
      <c r="J10" s="47" t="s">
        <v>423</v>
      </c>
      <c r="K10" s="76" t="s">
        <v>424</v>
      </c>
      <c r="L10" s="78" t="s">
        <v>425</v>
      </c>
      <c r="M10" s="79" t="s">
        <v>426</v>
      </c>
      <c r="N10" s="47" t="s">
        <v>427</v>
      </c>
      <c r="O10" s="79" t="s">
        <v>428</v>
      </c>
      <c r="P10" s="52" t="s">
        <v>429</v>
      </c>
      <c r="Q10" s="80" t="s">
        <v>430</v>
      </c>
      <c r="R10" s="47" t="s">
        <v>431</v>
      </c>
      <c r="S10" s="47" t="s">
        <v>432</v>
      </c>
      <c r="T10" s="47" t="s">
        <v>433</v>
      </c>
      <c r="U10" s="47" t="s">
        <v>434</v>
      </c>
      <c r="V10" s="47" t="s">
        <v>434</v>
      </c>
      <c r="W10" s="25"/>
      <c r="X10" s="25"/>
      <c r="Y10" s="79"/>
      <c r="Z10" s="79"/>
      <c r="AA10" s="47"/>
      <c r="AB10" s="47"/>
      <c r="AC10" s="47"/>
      <c r="AD10" s="47"/>
      <c r="AE10" s="47"/>
      <c r="AF10" s="47"/>
      <c r="AG10" s="47"/>
      <c r="AH10" s="47"/>
      <c r="AI10" s="47"/>
      <c r="AJ10" s="47"/>
      <c r="AK10" s="75"/>
      <c r="AL10" s="75"/>
      <c r="AM10" s="75"/>
    </row>
    <row r="11" spans="1:39">
      <c r="A11" s="3" t="s">
        <v>435</v>
      </c>
      <c r="B11" s="38">
        <v>300</v>
      </c>
      <c r="C11" s="81">
        <v>45604</v>
      </c>
      <c r="D11" s="82" t="s">
        <v>436</v>
      </c>
      <c r="E11" s="25" t="s">
        <v>437</v>
      </c>
      <c r="F11" s="83" t="s">
        <v>438</v>
      </c>
      <c r="G11" s="38" t="s">
        <v>439</v>
      </c>
      <c r="H11" s="61">
        <v>1000</v>
      </c>
      <c r="I11" s="61" t="s">
        <v>439</v>
      </c>
      <c r="J11" s="84" t="s">
        <v>440</v>
      </c>
      <c r="K11" s="61" t="s">
        <v>441</v>
      </c>
      <c r="L11" s="85" t="s">
        <v>442</v>
      </c>
      <c r="M11" s="63" t="s">
        <v>443</v>
      </c>
      <c r="N11" s="63" t="s">
        <v>443</v>
      </c>
      <c r="O11" s="63" t="s">
        <v>444</v>
      </c>
      <c r="P11" s="25" t="s">
        <v>444</v>
      </c>
      <c r="Q11" s="86" t="s">
        <v>445</v>
      </c>
      <c r="R11" s="38" t="s">
        <v>446</v>
      </c>
      <c r="S11" s="38" t="s">
        <v>447</v>
      </c>
      <c r="T11" s="38" t="s">
        <v>448</v>
      </c>
      <c r="U11" s="38" t="s">
        <v>449</v>
      </c>
      <c r="V11" s="38" t="s">
        <v>449</v>
      </c>
      <c r="W11" s="25"/>
      <c r="X11" s="25"/>
      <c r="Y11" s="63"/>
      <c r="Z11" s="38"/>
      <c r="AA11" s="25"/>
      <c r="AB11" s="38"/>
      <c r="AC11" s="38"/>
      <c r="AD11" s="38"/>
      <c r="AE11" s="38"/>
      <c r="AF11" s="38"/>
      <c r="AG11" s="38"/>
      <c r="AH11" s="38"/>
      <c r="AI11" s="38"/>
      <c r="AJ11" s="38"/>
      <c r="AK11" s="16"/>
      <c r="AL11" s="16"/>
      <c r="AM11" s="16"/>
    </row>
    <row r="12" spans="1:39">
      <c r="A12" s="47" t="s">
        <v>450</v>
      </c>
      <c r="B12" s="87" t="s">
        <v>451</v>
      </c>
      <c r="C12" s="88" t="s">
        <v>452</v>
      </c>
      <c r="D12" s="87" t="s">
        <v>453</v>
      </c>
      <c r="E12" s="88" t="s">
        <v>454</v>
      </c>
      <c r="F12" s="89" t="s">
        <v>455</v>
      </c>
      <c r="G12" s="87" t="s">
        <v>456</v>
      </c>
      <c r="H12" s="87" t="s">
        <v>457</v>
      </c>
      <c r="I12" s="88" t="s">
        <v>458</v>
      </c>
      <c r="J12" s="87" t="s">
        <v>459</v>
      </c>
      <c r="K12" s="87" t="s">
        <v>460</v>
      </c>
      <c r="L12" s="90" t="s">
        <v>461</v>
      </c>
      <c r="M12" s="91" t="s">
        <v>462</v>
      </c>
      <c r="N12" s="91" t="s">
        <v>463</v>
      </c>
      <c r="O12" s="92" t="s">
        <v>464</v>
      </c>
      <c r="P12" s="92" t="s">
        <v>465</v>
      </c>
      <c r="Q12" s="93" t="s">
        <v>367</v>
      </c>
      <c r="R12" s="94" t="s">
        <v>466</v>
      </c>
      <c r="S12" s="95" t="s">
        <v>467</v>
      </c>
      <c r="T12" s="95" t="s">
        <v>468</v>
      </c>
      <c r="U12" s="96" t="s">
        <v>469</v>
      </c>
      <c r="V12" s="96" t="s">
        <v>470</v>
      </c>
      <c r="W12" s="96" t="s">
        <v>471</v>
      </c>
      <c r="X12" s="96" t="s">
        <v>472</v>
      </c>
      <c r="Y12" s="96" t="s">
        <v>473</v>
      </c>
      <c r="Z12" s="96" t="s">
        <v>474</v>
      </c>
      <c r="AA12" s="96" t="s">
        <v>475</v>
      </c>
      <c r="AB12" s="97" t="s">
        <v>476</v>
      </c>
      <c r="AC12" s="96" t="s">
        <v>477</v>
      </c>
      <c r="AD12" s="96" t="s">
        <v>478</v>
      </c>
      <c r="AE12" s="96" t="s">
        <v>479</v>
      </c>
      <c r="AF12" s="47"/>
      <c r="AI12" s="47"/>
      <c r="AJ12" s="47"/>
      <c r="AK12" s="75"/>
      <c r="AL12" s="75"/>
      <c r="AM12" s="75"/>
    </row>
    <row r="13" spans="1:39">
      <c r="A13" s="71" t="s">
        <v>480</v>
      </c>
      <c r="B13" s="73">
        <v>80.2</v>
      </c>
      <c r="C13" s="72">
        <v>24.1</v>
      </c>
      <c r="D13" s="73" t="s">
        <v>481</v>
      </c>
      <c r="E13" s="73">
        <v>5.36</v>
      </c>
      <c r="F13" s="73">
        <v>1098</v>
      </c>
      <c r="G13" s="73">
        <v>18.5</v>
      </c>
      <c r="H13" s="73">
        <v>0</v>
      </c>
      <c r="I13" s="74">
        <v>80.239999999999995</v>
      </c>
      <c r="J13" s="73">
        <v>2490</v>
      </c>
      <c r="K13" s="74">
        <v>212.8</v>
      </c>
      <c r="L13" s="98">
        <f t="shared" ref="L13:L40" si="0">(J13/1000)*1/(2*PI()*0.0000000224*I13*1000)</f>
        <v>220.48575718092343</v>
      </c>
      <c r="M13" s="99">
        <f t="shared" ref="M13:M40" si="1">(0.00561673546297382+ 0.406460306032157*H13
    -0.0000254657386682608*H13*H13)*1000</f>
        <v>5.6167354629738204</v>
      </c>
      <c r="N13" s="100">
        <f t="shared" ref="N13:N40" si="2">E13*F13/1000</f>
        <v>5.8852800000000007</v>
      </c>
      <c r="O13" s="100">
        <f t="shared" ref="O13:O40" si="3">M13*G13/1000</f>
        <v>0.10390960606501567</v>
      </c>
      <c r="P13" s="101">
        <f t="shared" ref="P13:P40" si="4">N13-O13</f>
        <v>5.781370393934985</v>
      </c>
      <c r="Q13" s="102">
        <f t="shared" ref="Q13:Q40" si="5">O13/N13</f>
        <v>1.7655847481345945E-2</v>
      </c>
      <c r="R13" s="103">
        <f t="shared" ref="R13:R40" si="6">28/2*(1/((E13/G13)*0.5))</f>
        <v>96.641791044776113</v>
      </c>
      <c r="S13" s="73"/>
      <c r="T13" s="73"/>
      <c r="U13" s="73"/>
      <c r="V13" s="73"/>
      <c r="W13" s="73"/>
      <c r="X13" s="73"/>
      <c r="Y13" s="73"/>
      <c r="Z13" s="73"/>
      <c r="AA13" s="73"/>
      <c r="AB13" s="73"/>
      <c r="AC13" s="73"/>
      <c r="AD13" s="73"/>
      <c r="AE13" s="73"/>
      <c r="AF13" s="25"/>
      <c r="AI13" s="25"/>
      <c r="AJ13" s="25"/>
      <c r="AK13" s="3"/>
      <c r="AL13" s="3"/>
      <c r="AM13" s="3"/>
    </row>
    <row r="14" spans="1:39">
      <c r="A14" s="3"/>
      <c r="B14" s="52">
        <v>83</v>
      </c>
      <c r="C14" s="61">
        <v>24.1</v>
      </c>
      <c r="D14" s="25" t="s">
        <v>481</v>
      </c>
      <c r="E14" s="25">
        <v>35.03</v>
      </c>
      <c r="F14" s="25">
        <v>217</v>
      </c>
      <c r="G14" s="25">
        <v>21</v>
      </c>
      <c r="H14" s="25">
        <v>0</v>
      </c>
      <c r="I14" s="62">
        <v>83.02</v>
      </c>
      <c r="J14" s="25">
        <v>2739</v>
      </c>
      <c r="K14" s="62">
        <v>224.8</v>
      </c>
      <c r="L14" s="104">
        <f t="shared" si="0"/>
        <v>234.41285078073983</v>
      </c>
      <c r="M14" s="36">
        <f t="shared" si="1"/>
        <v>5.6167354629738204</v>
      </c>
      <c r="N14" s="63">
        <f t="shared" si="2"/>
        <v>7.6015100000000002</v>
      </c>
      <c r="O14" s="63">
        <f t="shared" si="3"/>
        <v>0.11795144472245023</v>
      </c>
      <c r="P14" s="105">
        <f t="shared" si="4"/>
        <v>7.4835585552775497</v>
      </c>
      <c r="Q14" s="102">
        <f t="shared" si="5"/>
        <v>1.5516843985267431E-2</v>
      </c>
      <c r="R14" s="106">
        <f t="shared" si="6"/>
        <v>16.785612332286611</v>
      </c>
      <c r="S14" s="25">
        <v>2</v>
      </c>
      <c r="T14" s="25">
        <v>46</v>
      </c>
      <c r="U14" s="25">
        <v>46</v>
      </c>
      <c r="V14" s="25">
        <v>49</v>
      </c>
      <c r="W14" s="25">
        <v>34</v>
      </c>
      <c r="X14" s="25">
        <v>37</v>
      </c>
      <c r="Y14" s="25">
        <v>58</v>
      </c>
      <c r="Z14" s="25">
        <v>42</v>
      </c>
      <c r="AA14" s="25">
        <v>60</v>
      </c>
      <c r="AB14" s="25">
        <v>43</v>
      </c>
      <c r="AC14" s="25">
        <v>22.4</v>
      </c>
      <c r="AD14" s="25"/>
      <c r="AE14" s="25"/>
      <c r="AF14" s="25"/>
      <c r="AI14" s="25"/>
      <c r="AJ14" s="25"/>
    </row>
    <row r="15" spans="1:39">
      <c r="B15" s="52">
        <v>80.2</v>
      </c>
      <c r="C15" s="61">
        <v>24.1</v>
      </c>
      <c r="D15" s="25" t="s">
        <v>481</v>
      </c>
      <c r="E15" s="25">
        <v>42.04</v>
      </c>
      <c r="F15" s="25">
        <v>180</v>
      </c>
      <c r="G15" s="25">
        <v>21.41</v>
      </c>
      <c r="H15" s="25">
        <v>0</v>
      </c>
      <c r="I15" s="62">
        <v>83.52</v>
      </c>
      <c r="J15" s="25">
        <v>2785</v>
      </c>
      <c r="K15" s="62">
        <v>230.4</v>
      </c>
      <c r="L15" s="104">
        <f t="shared" si="0"/>
        <v>236.92278395194509</v>
      </c>
      <c r="M15" s="36">
        <f t="shared" si="1"/>
        <v>5.6167354629738204</v>
      </c>
      <c r="N15" s="63">
        <f t="shared" si="2"/>
        <v>7.5671999999999997</v>
      </c>
      <c r="O15" s="63">
        <f t="shared" si="3"/>
        <v>0.12025430626226949</v>
      </c>
      <c r="P15" s="105">
        <f t="shared" si="4"/>
        <v>7.4469456937377299</v>
      </c>
      <c r="Q15" s="102">
        <f t="shared" si="5"/>
        <v>1.5891519487032126E-2</v>
      </c>
      <c r="R15" s="106">
        <f t="shared" si="6"/>
        <v>14.259752616555661</v>
      </c>
      <c r="S15" s="25"/>
      <c r="T15" s="25"/>
      <c r="U15" s="25"/>
      <c r="V15" s="25"/>
      <c r="W15" s="25"/>
      <c r="X15" s="25"/>
      <c r="Y15" s="25"/>
      <c r="Z15" s="25"/>
      <c r="AA15" s="25"/>
      <c r="AB15" s="25"/>
      <c r="AC15" s="25"/>
      <c r="AD15" s="25"/>
      <c r="AE15" s="25"/>
      <c r="AF15" s="25"/>
      <c r="AI15" s="25"/>
      <c r="AJ15" s="25"/>
    </row>
    <row r="16" spans="1:39">
      <c r="A16" s="3" t="s">
        <v>482</v>
      </c>
      <c r="B16" s="25">
        <v>80.2</v>
      </c>
      <c r="C16" s="61">
        <v>24.1</v>
      </c>
      <c r="D16" s="25" t="s">
        <v>481</v>
      </c>
      <c r="E16" s="25">
        <v>6.4649999999999999</v>
      </c>
      <c r="F16" s="25">
        <v>1210</v>
      </c>
      <c r="G16" s="25">
        <v>22.7</v>
      </c>
      <c r="H16" s="25">
        <v>0</v>
      </c>
      <c r="I16" s="62">
        <v>80.316000000000003</v>
      </c>
      <c r="J16" s="25">
        <v>3007</v>
      </c>
      <c r="K16" s="62">
        <v>254.7</v>
      </c>
      <c r="L16" s="104">
        <f t="shared" si="0"/>
        <v>266.01337322338441</v>
      </c>
      <c r="M16" s="36">
        <f t="shared" si="1"/>
        <v>5.6167354629738204</v>
      </c>
      <c r="N16" s="63">
        <f t="shared" si="2"/>
        <v>7.8226499999999994</v>
      </c>
      <c r="O16" s="63">
        <f t="shared" si="3"/>
        <v>0.12749989500950573</v>
      </c>
      <c r="P16" s="105">
        <f t="shared" si="4"/>
        <v>7.6951501049904936</v>
      </c>
      <c r="Q16" s="102">
        <f t="shared" si="5"/>
        <v>1.6298811145776141E-2</v>
      </c>
      <c r="R16" s="106">
        <f t="shared" si="6"/>
        <v>98.313998453209578</v>
      </c>
      <c r="S16" s="25">
        <v>3</v>
      </c>
      <c r="T16" s="25">
        <v>51</v>
      </c>
      <c r="U16" s="25">
        <v>50</v>
      </c>
      <c r="V16" s="25">
        <v>56</v>
      </c>
      <c r="W16" s="25">
        <v>41</v>
      </c>
      <c r="X16" s="25">
        <v>44</v>
      </c>
      <c r="Y16" s="25">
        <v>71</v>
      </c>
      <c r="Z16" s="25">
        <v>47</v>
      </c>
      <c r="AA16" s="25">
        <v>70</v>
      </c>
      <c r="AB16" s="25">
        <v>47</v>
      </c>
      <c r="AC16" s="25">
        <v>25</v>
      </c>
      <c r="AD16" s="25"/>
      <c r="AE16" s="25"/>
      <c r="AF16" s="25"/>
      <c r="AI16" s="25"/>
      <c r="AJ16" s="25"/>
    </row>
    <row r="17" spans="1:36">
      <c r="B17" s="25">
        <v>80.2</v>
      </c>
      <c r="C17" s="61">
        <v>24.1</v>
      </c>
      <c r="D17" s="25" t="s">
        <v>481</v>
      </c>
      <c r="E17" s="25">
        <v>5.8579999999999997</v>
      </c>
      <c r="F17" s="25">
        <v>1288</v>
      </c>
      <c r="G17" s="25">
        <v>22.7</v>
      </c>
      <c r="H17" s="25">
        <v>0</v>
      </c>
      <c r="I17" s="62">
        <v>79.92</v>
      </c>
      <c r="J17" s="25">
        <v>3045</v>
      </c>
      <c r="K17" s="62">
        <v>259.10000000000002</v>
      </c>
      <c r="L17" s="104">
        <f t="shared" si="0"/>
        <v>270.70977323016166</v>
      </c>
      <c r="M17" s="36">
        <f t="shared" si="1"/>
        <v>5.6167354629738204</v>
      </c>
      <c r="N17" s="63">
        <f t="shared" si="2"/>
        <v>7.5451039999999994</v>
      </c>
      <c r="O17" s="63">
        <f t="shared" si="3"/>
        <v>0.12749989500950573</v>
      </c>
      <c r="P17" s="105">
        <f t="shared" si="4"/>
        <v>7.4176041049904935</v>
      </c>
      <c r="Q17" s="102">
        <f t="shared" si="5"/>
        <v>1.6898361508271554E-2</v>
      </c>
      <c r="R17" s="106">
        <f t="shared" si="6"/>
        <v>108.50119494708092</v>
      </c>
      <c r="S17" s="25"/>
      <c r="T17" s="25"/>
      <c r="U17" s="25"/>
      <c r="V17" s="25"/>
      <c r="W17" s="25"/>
      <c r="X17" s="25"/>
      <c r="Y17" s="25"/>
      <c r="Z17" s="25"/>
      <c r="AA17" s="25"/>
      <c r="AB17" s="25"/>
      <c r="AC17" s="25"/>
      <c r="AD17" s="25"/>
      <c r="AE17" s="25"/>
      <c r="AF17" s="25"/>
      <c r="AI17" s="25"/>
      <c r="AJ17" s="25"/>
    </row>
    <row r="18" spans="1:36">
      <c r="A18" s="44"/>
      <c r="B18" s="49">
        <v>81.7</v>
      </c>
      <c r="C18" s="107">
        <v>24.1</v>
      </c>
      <c r="D18" s="41" t="s">
        <v>481</v>
      </c>
      <c r="E18" s="41">
        <v>49.99</v>
      </c>
      <c r="F18" s="41">
        <v>245</v>
      </c>
      <c r="G18" s="41">
        <v>24.1</v>
      </c>
      <c r="H18" s="41">
        <v>0</v>
      </c>
      <c r="I18" s="108">
        <v>83.6</v>
      </c>
      <c r="J18" s="41">
        <v>3099</v>
      </c>
      <c r="K18" s="108">
        <v>259</v>
      </c>
      <c r="L18" s="109">
        <f t="shared" si="0"/>
        <v>263.38280109459572</v>
      </c>
      <c r="M18" s="42">
        <f t="shared" si="1"/>
        <v>5.6167354629738204</v>
      </c>
      <c r="N18" s="110">
        <f t="shared" si="2"/>
        <v>12.24755</v>
      </c>
      <c r="O18" s="110">
        <f t="shared" si="3"/>
        <v>0.13536332465766907</v>
      </c>
      <c r="P18" s="111">
        <f t="shared" si="4"/>
        <v>12.112186675342331</v>
      </c>
      <c r="Q18" s="112">
        <f t="shared" si="5"/>
        <v>1.1052277774548303E-2</v>
      </c>
      <c r="R18" s="113">
        <f t="shared" si="6"/>
        <v>13.498699739947988</v>
      </c>
      <c r="S18" s="41">
        <v>5</v>
      </c>
      <c r="T18" s="41">
        <v>47</v>
      </c>
      <c r="U18" s="41">
        <v>47</v>
      </c>
      <c r="V18" s="41">
        <v>49</v>
      </c>
      <c r="W18" s="41">
        <v>32</v>
      </c>
      <c r="X18" s="41">
        <v>35</v>
      </c>
      <c r="Y18" s="41">
        <v>58</v>
      </c>
      <c r="Z18" s="41">
        <v>41</v>
      </c>
      <c r="AA18" s="41">
        <v>58</v>
      </c>
      <c r="AB18" s="41"/>
      <c r="AC18" s="41">
        <v>22.6</v>
      </c>
      <c r="AD18" s="41"/>
      <c r="AE18" s="41"/>
      <c r="AF18" s="25"/>
      <c r="AI18" s="25"/>
      <c r="AJ18" s="25"/>
    </row>
    <row r="19" spans="1:36">
      <c r="A19" s="3" t="s">
        <v>483</v>
      </c>
      <c r="B19" s="25">
        <v>81.7</v>
      </c>
      <c r="C19" s="61">
        <v>24.1</v>
      </c>
      <c r="D19" s="52" t="s">
        <v>481</v>
      </c>
      <c r="E19" s="25">
        <v>50.06</v>
      </c>
      <c r="F19" s="25">
        <v>190</v>
      </c>
      <c r="G19" s="25">
        <v>24.1</v>
      </c>
      <c r="H19" s="25">
        <v>0</v>
      </c>
      <c r="I19" s="62">
        <v>83.51</v>
      </c>
      <c r="J19" s="25">
        <v>3099</v>
      </c>
      <c r="K19" s="62">
        <v>358.9</v>
      </c>
      <c r="L19" s="104">
        <f t="shared" si="0"/>
        <v>263.66665275425936</v>
      </c>
      <c r="M19" s="36">
        <f t="shared" si="1"/>
        <v>5.6167354629738204</v>
      </c>
      <c r="N19" s="63">
        <f t="shared" si="2"/>
        <v>9.5114000000000001</v>
      </c>
      <c r="O19" s="63">
        <f t="shared" si="3"/>
        <v>0.13536332465766907</v>
      </c>
      <c r="P19" s="105">
        <f t="shared" si="4"/>
        <v>9.3760366753423305</v>
      </c>
      <c r="Q19" s="102">
        <f t="shared" si="5"/>
        <v>1.4231692985014727E-2</v>
      </c>
      <c r="R19" s="106">
        <f t="shared" si="6"/>
        <v>13.479824210946862</v>
      </c>
      <c r="S19" s="25"/>
      <c r="T19" s="25"/>
      <c r="U19" s="25"/>
      <c r="V19" s="25"/>
      <c r="W19" s="25"/>
      <c r="X19" s="25"/>
      <c r="Y19" s="25"/>
      <c r="Z19" s="25"/>
      <c r="AA19" s="25"/>
      <c r="AB19" s="25"/>
      <c r="AC19" s="25"/>
      <c r="AD19" s="25"/>
      <c r="AE19" s="25"/>
      <c r="AF19" s="25"/>
      <c r="AG19" s="76" t="s">
        <v>484</v>
      </c>
      <c r="AH19" s="47" t="s">
        <v>367</v>
      </c>
      <c r="AI19" s="25"/>
      <c r="AJ19" s="25"/>
    </row>
    <row r="20" spans="1:36">
      <c r="B20" s="25">
        <v>81.7</v>
      </c>
      <c r="C20" s="61">
        <v>24.1</v>
      </c>
      <c r="D20" s="25" t="s">
        <v>481</v>
      </c>
      <c r="E20" s="25">
        <v>50.036000000000001</v>
      </c>
      <c r="F20" s="25">
        <v>230</v>
      </c>
      <c r="G20" s="25">
        <v>24.1</v>
      </c>
      <c r="H20" s="25">
        <v>0.24</v>
      </c>
      <c r="I20" s="62">
        <v>83.47</v>
      </c>
      <c r="J20" s="25">
        <v>3100</v>
      </c>
      <c r="K20" s="62">
        <v>262.10000000000002</v>
      </c>
      <c r="L20" s="104">
        <f t="shared" si="0"/>
        <v>263.87812750564547</v>
      </c>
      <c r="M20" s="36">
        <f t="shared" si="1"/>
        <v>103.16574208414421</v>
      </c>
      <c r="N20" s="63">
        <f t="shared" si="2"/>
        <v>11.508280000000001</v>
      </c>
      <c r="O20" s="63">
        <f t="shared" si="3"/>
        <v>2.4862943842278757</v>
      </c>
      <c r="P20" s="105">
        <f t="shared" si="4"/>
        <v>9.0219856157721257</v>
      </c>
      <c r="Q20" s="102">
        <f t="shared" si="5"/>
        <v>0.21604396002077422</v>
      </c>
      <c r="R20" s="106">
        <f t="shared" si="6"/>
        <v>13.486289871292669</v>
      </c>
      <c r="S20" s="25"/>
      <c r="T20" s="25"/>
      <c r="U20" s="25"/>
      <c r="V20" s="25"/>
      <c r="W20" s="25"/>
      <c r="X20" s="25"/>
      <c r="Y20" s="25"/>
      <c r="Z20" s="25"/>
      <c r="AA20" s="25"/>
      <c r="AB20" s="25"/>
      <c r="AC20" s="25"/>
      <c r="AD20" s="25"/>
      <c r="AE20" s="25"/>
      <c r="AF20" s="25"/>
      <c r="AG20" s="63">
        <v>9.5114000000000001</v>
      </c>
      <c r="AH20" s="114">
        <v>1.4231692985014727E-2</v>
      </c>
      <c r="AI20" s="25"/>
      <c r="AJ20" s="25"/>
    </row>
    <row r="21" spans="1:36">
      <c r="B21" s="25">
        <v>81.7</v>
      </c>
      <c r="C21" s="61">
        <v>24.1</v>
      </c>
      <c r="D21" s="25" t="s">
        <v>481</v>
      </c>
      <c r="E21" s="25">
        <v>49.982999999999997</v>
      </c>
      <c r="F21" s="25">
        <v>257</v>
      </c>
      <c r="G21" s="25">
        <v>24.1</v>
      </c>
      <c r="H21" s="25">
        <v>0.37</v>
      </c>
      <c r="I21" s="62">
        <v>83.46</v>
      </c>
      <c r="J21" s="25">
        <v>3130</v>
      </c>
      <c r="K21" s="62">
        <v>263.2</v>
      </c>
      <c r="L21" s="104">
        <f t="shared" si="0"/>
        <v>266.46371009510142</v>
      </c>
      <c r="M21" s="36">
        <f t="shared" si="1"/>
        <v>156.0035624352482</v>
      </c>
      <c r="N21" s="63">
        <f t="shared" si="2"/>
        <v>12.845630999999999</v>
      </c>
      <c r="O21" s="63">
        <f t="shared" si="3"/>
        <v>3.759685854689482</v>
      </c>
      <c r="P21" s="105">
        <f t="shared" si="4"/>
        <v>9.085945145310518</v>
      </c>
      <c r="Q21" s="102">
        <f t="shared" si="5"/>
        <v>0.29268206868852781</v>
      </c>
      <c r="R21" s="106">
        <f t="shared" si="6"/>
        <v>13.500590200668229</v>
      </c>
      <c r="S21" s="25"/>
      <c r="T21" s="25"/>
      <c r="U21" s="25"/>
      <c r="V21" s="25"/>
      <c r="W21" s="25"/>
      <c r="X21" s="25"/>
      <c r="Y21" s="25"/>
      <c r="Z21" s="25"/>
      <c r="AA21" s="25"/>
      <c r="AB21" s="25"/>
      <c r="AC21" s="25"/>
      <c r="AD21" s="25"/>
      <c r="AE21" s="25"/>
      <c r="AF21" s="25"/>
      <c r="AG21" s="63">
        <v>11.508280000000001</v>
      </c>
      <c r="AH21" s="114">
        <v>0.21604396002077422</v>
      </c>
      <c r="AI21" s="25"/>
      <c r="AJ21" s="25"/>
    </row>
    <row r="22" spans="1:36">
      <c r="A22" s="3" t="s">
        <v>485</v>
      </c>
      <c r="B22" s="25">
        <v>81.7</v>
      </c>
      <c r="C22" s="61">
        <v>24.1</v>
      </c>
      <c r="D22" s="25" t="s">
        <v>481</v>
      </c>
      <c r="E22" s="25">
        <v>49.84</v>
      </c>
      <c r="F22" s="25">
        <v>335</v>
      </c>
      <c r="G22" s="25">
        <v>24.1</v>
      </c>
      <c r="H22" s="25">
        <v>0.77</v>
      </c>
      <c r="I22" s="62">
        <v>83.46</v>
      </c>
      <c r="J22" s="25">
        <v>3130</v>
      </c>
      <c r="K22" s="62">
        <v>262.2</v>
      </c>
      <c r="L22" s="104">
        <f t="shared" si="0"/>
        <v>266.46371009510142</v>
      </c>
      <c r="M22" s="36">
        <f t="shared" si="1"/>
        <v>318.57607247127828</v>
      </c>
      <c r="N22" s="63">
        <f t="shared" si="2"/>
        <v>16.696400000000001</v>
      </c>
      <c r="O22" s="63">
        <f t="shared" si="3"/>
        <v>7.6776833465578074</v>
      </c>
      <c r="P22" s="105">
        <f t="shared" si="4"/>
        <v>9.0187166534421941</v>
      </c>
      <c r="Q22" s="102">
        <f t="shared" si="5"/>
        <v>0.459840645082641</v>
      </c>
      <c r="R22" s="106">
        <f t="shared" si="6"/>
        <v>13.539325842696627</v>
      </c>
      <c r="S22" s="25"/>
      <c r="T22" s="25"/>
      <c r="U22" s="25"/>
      <c r="V22" s="25"/>
      <c r="W22" s="25"/>
      <c r="X22" s="25"/>
      <c r="Y22" s="25"/>
      <c r="Z22" s="25"/>
      <c r="AA22" s="25"/>
      <c r="AB22" s="25"/>
      <c r="AC22" s="25"/>
      <c r="AD22" s="25"/>
      <c r="AE22" s="25"/>
      <c r="AF22" s="25"/>
      <c r="AG22" s="63">
        <v>12.845630999999999</v>
      </c>
      <c r="AH22" s="114">
        <v>0.29268206868852781</v>
      </c>
      <c r="AI22" s="25"/>
      <c r="AJ22" s="25"/>
    </row>
    <row r="23" spans="1:36">
      <c r="A23" s="3" t="s">
        <v>486</v>
      </c>
      <c r="B23" s="25">
        <v>81.7</v>
      </c>
      <c r="C23" s="61">
        <v>24.1</v>
      </c>
      <c r="D23" s="25" t="s">
        <v>481</v>
      </c>
      <c r="E23" s="25">
        <v>49.63</v>
      </c>
      <c r="F23" s="25">
        <v>471</v>
      </c>
      <c r="G23" s="25">
        <v>24.1</v>
      </c>
      <c r="H23" s="25">
        <v>1.45</v>
      </c>
      <c r="I23" s="62">
        <v>83.41</v>
      </c>
      <c r="J23" s="25">
        <v>3130</v>
      </c>
      <c r="K23" s="62">
        <v>262.89999999999998</v>
      </c>
      <c r="L23" s="104">
        <f t="shared" si="0"/>
        <v>266.62344136838703</v>
      </c>
      <c r="M23" s="36">
        <f t="shared" si="1"/>
        <v>594.93063749405144</v>
      </c>
      <c r="N23" s="63">
        <f t="shared" si="2"/>
        <v>23.375730000000001</v>
      </c>
      <c r="O23" s="63">
        <f t="shared" si="3"/>
        <v>14.33782836360664</v>
      </c>
      <c r="P23" s="105">
        <f t="shared" si="4"/>
        <v>9.0379016363933609</v>
      </c>
      <c r="Q23" s="102">
        <f t="shared" si="5"/>
        <v>0.6133638762770891</v>
      </c>
      <c r="R23" s="106">
        <f t="shared" si="6"/>
        <v>13.596614950634699</v>
      </c>
      <c r="S23" s="25">
        <v>2</v>
      </c>
      <c r="T23" s="25">
        <v>59</v>
      </c>
      <c r="U23" s="25">
        <v>59</v>
      </c>
      <c r="V23" s="25">
        <v>64</v>
      </c>
      <c r="W23" s="25">
        <v>45</v>
      </c>
      <c r="X23" s="25">
        <v>51</v>
      </c>
      <c r="Y23" s="25">
        <v>85</v>
      </c>
      <c r="Z23" s="25">
        <v>55</v>
      </c>
      <c r="AA23" s="25">
        <v>83</v>
      </c>
      <c r="AB23" s="25">
        <v>52</v>
      </c>
      <c r="AC23" s="25">
        <v>24</v>
      </c>
      <c r="AD23" s="25"/>
      <c r="AE23" s="25"/>
      <c r="AF23" s="25"/>
      <c r="AG23" s="63">
        <v>16.696400000000001</v>
      </c>
      <c r="AH23" s="114">
        <v>0.459840645082641</v>
      </c>
      <c r="AI23" s="25"/>
      <c r="AJ23" s="25"/>
    </row>
    <row r="24" spans="1:36">
      <c r="A24" s="3" t="s">
        <v>485</v>
      </c>
      <c r="B24" s="25">
        <v>81.7</v>
      </c>
      <c r="C24" s="61">
        <v>24.1</v>
      </c>
      <c r="D24" s="25" t="s">
        <v>481</v>
      </c>
      <c r="E24" s="25">
        <v>49.41</v>
      </c>
      <c r="F24" s="25">
        <v>758</v>
      </c>
      <c r="G24" s="25">
        <v>24.1</v>
      </c>
      <c r="H24" s="25">
        <v>2.81</v>
      </c>
      <c r="I24" s="62">
        <v>83.09</v>
      </c>
      <c r="J24" s="25">
        <v>3246</v>
      </c>
      <c r="K24" s="62">
        <v>273.5</v>
      </c>
      <c r="L24" s="104">
        <f t="shared" si="0"/>
        <v>277.56958100311425</v>
      </c>
      <c r="M24" s="36">
        <f t="shared" si="1"/>
        <v>1147.5691153942366</v>
      </c>
      <c r="N24" s="63">
        <f t="shared" si="2"/>
        <v>37.452779999999997</v>
      </c>
      <c r="O24" s="63">
        <f t="shared" si="3"/>
        <v>27.656415681001103</v>
      </c>
      <c r="P24" s="105">
        <f t="shared" si="4"/>
        <v>9.7963643189988936</v>
      </c>
      <c r="Q24" s="102">
        <f t="shared" si="5"/>
        <v>0.73843425457338829</v>
      </c>
      <c r="R24" s="106">
        <f t="shared" si="6"/>
        <v>13.657154422181746</v>
      </c>
      <c r="S24" s="25">
        <v>2</v>
      </c>
      <c r="T24" s="25">
        <v>60</v>
      </c>
      <c r="U24" s="25">
        <v>61</v>
      </c>
      <c r="V24" s="25">
        <v>63</v>
      </c>
      <c r="W24" s="25">
        <v>51</v>
      </c>
      <c r="X24" s="25">
        <v>57</v>
      </c>
      <c r="Y24" s="25">
        <v>87</v>
      </c>
      <c r="Z24" s="25">
        <v>59</v>
      </c>
      <c r="AA24" s="25">
        <v>87</v>
      </c>
      <c r="AB24" s="25">
        <v>56</v>
      </c>
      <c r="AC24" s="25">
        <v>24</v>
      </c>
      <c r="AD24" s="25"/>
      <c r="AE24" s="25"/>
      <c r="AF24" s="25"/>
      <c r="AG24" s="63">
        <v>23.375730000000001</v>
      </c>
      <c r="AH24" s="114">
        <v>0.6133638762770891</v>
      </c>
      <c r="AI24" s="25"/>
      <c r="AJ24" s="25"/>
    </row>
    <row r="25" spans="1:36">
      <c r="A25" s="3" t="s">
        <v>487</v>
      </c>
      <c r="B25" s="25">
        <v>81.7</v>
      </c>
      <c r="C25" s="61">
        <v>24.1</v>
      </c>
      <c r="D25" s="25" t="s">
        <v>481</v>
      </c>
      <c r="E25" s="25">
        <v>49.34</v>
      </c>
      <c r="F25" s="25">
        <v>1024</v>
      </c>
      <c r="G25" s="25">
        <v>24.1</v>
      </c>
      <c r="H25" s="25">
        <v>4.17</v>
      </c>
      <c r="I25" s="62">
        <v>82.96</v>
      </c>
      <c r="J25" s="25">
        <v>3278</v>
      </c>
      <c r="K25" s="62">
        <v>276.3</v>
      </c>
      <c r="L25" s="104">
        <f t="shared" si="0"/>
        <v>280.74518671607711</v>
      </c>
      <c r="M25" s="36">
        <f t="shared" si="1"/>
        <v>1700.1133904339401</v>
      </c>
      <c r="N25" s="63">
        <f t="shared" si="2"/>
        <v>50.524160000000002</v>
      </c>
      <c r="O25" s="63">
        <f t="shared" si="3"/>
        <v>40.972732709457958</v>
      </c>
      <c r="P25" s="105">
        <f t="shared" si="4"/>
        <v>9.5514272905420441</v>
      </c>
      <c r="Q25" s="102">
        <f t="shared" si="5"/>
        <v>0.81095326888082764</v>
      </c>
      <c r="R25" s="106">
        <f t="shared" si="6"/>
        <v>13.676530198621808</v>
      </c>
      <c r="S25" s="25"/>
      <c r="T25" s="25"/>
      <c r="U25" s="25"/>
      <c r="V25" s="25"/>
      <c r="W25" s="25"/>
      <c r="X25" s="25"/>
      <c r="Y25" s="25"/>
      <c r="Z25" s="25"/>
      <c r="AA25" s="25"/>
      <c r="AB25" s="25"/>
      <c r="AC25" s="25"/>
      <c r="AD25" s="25"/>
      <c r="AE25" s="25"/>
      <c r="AF25" s="25"/>
      <c r="AG25" s="63">
        <v>37.452779999999997</v>
      </c>
      <c r="AH25" s="114">
        <v>0.73843425457338829</v>
      </c>
      <c r="AI25" s="25"/>
      <c r="AJ25" s="25"/>
    </row>
    <row r="26" spans="1:36">
      <c r="A26" s="3" t="s">
        <v>488</v>
      </c>
      <c r="B26" s="25">
        <v>81.7</v>
      </c>
      <c r="C26" s="61">
        <v>24.1</v>
      </c>
      <c r="D26" s="25" t="s">
        <v>481</v>
      </c>
      <c r="E26" s="25">
        <v>49.32</v>
      </c>
      <c r="F26" s="25">
        <v>1057</v>
      </c>
      <c r="G26" s="25">
        <v>14.81</v>
      </c>
      <c r="H26" s="25">
        <v>7.7</v>
      </c>
      <c r="I26" s="62">
        <v>81.650000000000006</v>
      </c>
      <c r="J26" s="25">
        <v>2395</v>
      </c>
      <c r="K26" s="62">
        <v>201.1</v>
      </c>
      <c r="L26" s="104">
        <f t="shared" si="0"/>
        <v>208.41138609105136</v>
      </c>
      <c r="M26" s="36">
        <f t="shared" si="1"/>
        <v>3133.8512282649417</v>
      </c>
      <c r="N26" s="63">
        <f t="shared" si="2"/>
        <v>52.131239999999998</v>
      </c>
      <c r="O26" s="63">
        <f t="shared" si="3"/>
        <v>46.412336690603794</v>
      </c>
      <c r="P26" s="105">
        <f t="shared" si="4"/>
        <v>5.7189033093962038</v>
      </c>
      <c r="Q26" s="102">
        <f t="shared" si="5"/>
        <v>0.89029796127243077</v>
      </c>
      <c r="R26" s="106">
        <f t="shared" si="6"/>
        <v>8.4079480940794813</v>
      </c>
      <c r="S26" s="25">
        <v>5</v>
      </c>
      <c r="T26" s="25">
        <v>55</v>
      </c>
      <c r="U26" s="25">
        <v>55</v>
      </c>
      <c r="V26" s="25">
        <v>60</v>
      </c>
      <c r="W26" s="25">
        <v>54</v>
      </c>
      <c r="X26" s="25">
        <v>61</v>
      </c>
      <c r="Y26" s="25">
        <v>73</v>
      </c>
      <c r="Z26" s="25">
        <v>58</v>
      </c>
      <c r="AA26" s="25">
        <v>72</v>
      </c>
      <c r="AB26" s="25">
        <v>58</v>
      </c>
      <c r="AC26" s="25">
        <v>23.8</v>
      </c>
      <c r="AD26" s="25"/>
      <c r="AE26" s="25"/>
      <c r="AF26" s="25"/>
      <c r="AG26" s="63">
        <v>50.524160000000002</v>
      </c>
      <c r="AH26" s="114">
        <v>0.81095326888082764</v>
      </c>
      <c r="AI26" s="25"/>
      <c r="AJ26" s="25"/>
    </row>
    <row r="27" spans="1:36">
      <c r="B27" s="25">
        <v>81.7</v>
      </c>
      <c r="C27" s="61">
        <v>24.1</v>
      </c>
      <c r="D27" s="25" t="s">
        <v>481</v>
      </c>
      <c r="E27" s="25"/>
      <c r="F27" s="25"/>
      <c r="G27" s="25"/>
      <c r="H27" s="25"/>
      <c r="I27" s="62"/>
      <c r="J27" s="25"/>
      <c r="K27" s="62"/>
      <c r="L27" s="104" t="e">
        <f t="shared" si="0"/>
        <v>#DIV/0!</v>
      </c>
      <c r="M27" s="36">
        <f t="shared" si="1"/>
        <v>5.6167354629738204</v>
      </c>
      <c r="N27" s="63">
        <f t="shared" si="2"/>
        <v>0</v>
      </c>
      <c r="O27" s="63">
        <f t="shared" si="3"/>
        <v>0</v>
      </c>
      <c r="P27" s="105">
        <f t="shared" si="4"/>
        <v>0</v>
      </c>
      <c r="Q27" s="102" t="e">
        <f t="shared" si="5"/>
        <v>#DIV/0!</v>
      </c>
      <c r="R27" s="106" t="e">
        <f t="shared" si="6"/>
        <v>#DIV/0!</v>
      </c>
      <c r="S27" s="25"/>
      <c r="T27" s="25"/>
      <c r="U27" s="25"/>
      <c r="V27" s="25"/>
      <c r="W27" s="25"/>
      <c r="X27" s="25"/>
      <c r="Y27" s="25"/>
      <c r="Z27" s="25"/>
      <c r="AA27" s="25"/>
      <c r="AB27" s="25"/>
      <c r="AC27" s="25"/>
      <c r="AD27" s="25"/>
      <c r="AE27" s="25"/>
      <c r="AF27" s="25"/>
      <c r="AG27" s="25"/>
      <c r="AH27" s="25"/>
      <c r="AI27" s="25"/>
      <c r="AJ27" s="25"/>
    </row>
    <row r="28" spans="1:36">
      <c r="B28" s="25">
        <v>81.7</v>
      </c>
      <c r="C28" s="61">
        <v>24.1</v>
      </c>
      <c r="D28" s="25" t="s">
        <v>481</v>
      </c>
      <c r="E28" s="25"/>
      <c r="F28" s="25"/>
      <c r="G28" s="25"/>
      <c r="H28" s="25"/>
      <c r="I28" s="62"/>
      <c r="J28" s="25"/>
      <c r="K28" s="62"/>
      <c r="L28" s="104" t="e">
        <f t="shared" si="0"/>
        <v>#DIV/0!</v>
      </c>
      <c r="M28" s="36">
        <f t="shared" si="1"/>
        <v>5.6167354629738204</v>
      </c>
      <c r="N28" s="63">
        <f t="shared" si="2"/>
        <v>0</v>
      </c>
      <c r="O28" s="63">
        <f t="shared" si="3"/>
        <v>0</v>
      </c>
      <c r="P28" s="105">
        <f t="shared" si="4"/>
        <v>0</v>
      </c>
      <c r="Q28" s="102" t="e">
        <f t="shared" si="5"/>
        <v>#DIV/0!</v>
      </c>
      <c r="R28" s="106" t="e">
        <f t="shared" si="6"/>
        <v>#DIV/0!</v>
      </c>
      <c r="S28" s="25"/>
      <c r="T28" s="25"/>
      <c r="U28" s="25"/>
      <c r="V28" s="25"/>
      <c r="W28" s="25"/>
      <c r="X28" s="25"/>
      <c r="Y28" s="25"/>
      <c r="Z28" s="25"/>
      <c r="AA28" s="25"/>
      <c r="AB28" s="25"/>
      <c r="AC28" s="25"/>
      <c r="AD28" s="25"/>
      <c r="AE28" s="25"/>
      <c r="AF28" s="25"/>
      <c r="AG28" s="25"/>
      <c r="AH28" s="25"/>
      <c r="AI28" s="25"/>
      <c r="AJ28" s="25"/>
    </row>
    <row r="29" spans="1:36">
      <c r="B29" s="25">
        <v>81.7</v>
      </c>
      <c r="C29" s="61">
        <v>24.1</v>
      </c>
      <c r="D29" s="25" t="s">
        <v>481</v>
      </c>
      <c r="E29" s="25"/>
      <c r="F29" s="25"/>
      <c r="G29" s="25"/>
      <c r="H29" s="25"/>
      <c r="I29" s="62"/>
      <c r="J29" s="25"/>
      <c r="K29" s="62"/>
      <c r="L29" s="104" t="e">
        <f t="shared" si="0"/>
        <v>#DIV/0!</v>
      </c>
      <c r="M29" s="36">
        <f t="shared" si="1"/>
        <v>5.6167354629738204</v>
      </c>
      <c r="N29" s="63">
        <f t="shared" si="2"/>
        <v>0</v>
      </c>
      <c r="O29" s="63">
        <f t="shared" si="3"/>
        <v>0</v>
      </c>
      <c r="P29" s="105">
        <f t="shared" si="4"/>
        <v>0</v>
      </c>
      <c r="Q29" s="102" t="e">
        <f t="shared" si="5"/>
        <v>#DIV/0!</v>
      </c>
      <c r="R29" s="106" t="e">
        <f t="shared" si="6"/>
        <v>#DIV/0!</v>
      </c>
      <c r="S29" s="25"/>
      <c r="T29" s="25"/>
      <c r="U29" s="25"/>
      <c r="V29" s="25"/>
      <c r="W29" s="25"/>
      <c r="X29" s="25"/>
      <c r="Y29" s="25"/>
      <c r="Z29" s="25"/>
      <c r="AA29" s="25"/>
      <c r="AB29" s="25"/>
      <c r="AC29" s="25"/>
      <c r="AD29" s="25"/>
      <c r="AE29" s="25"/>
      <c r="AF29" s="25"/>
      <c r="AG29" s="25"/>
      <c r="AH29" s="25"/>
      <c r="AI29" s="25"/>
      <c r="AJ29" s="25"/>
    </row>
    <row r="30" spans="1:36">
      <c r="B30" s="25">
        <v>81.7</v>
      </c>
      <c r="C30" s="61">
        <v>24.1</v>
      </c>
      <c r="D30" s="25" t="s">
        <v>481</v>
      </c>
      <c r="E30" s="25"/>
      <c r="F30" s="25"/>
      <c r="G30" s="25"/>
      <c r="H30" s="25"/>
      <c r="I30" s="62"/>
      <c r="J30" s="25"/>
      <c r="K30" s="62"/>
      <c r="L30" s="104" t="e">
        <f t="shared" si="0"/>
        <v>#DIV/0!</v>
      </c>
      <c r="M30" s="36">
        <f t="shared" si="1"/>
        <v>5.6167354629738204</v>
      </c>
      <c r="N30" s="63">
        <f t="shared" si="2"/>
        <v>0</v>
      </c>
      <c r="O30" s="63">
        <f t="shared" si="3"/>
        <v>0</v>
      </c>
      <c r="P30" s="105">
        <f t="shared" si="4"/>
        <v>0</v>
      </c>
      <c r="Q30" s="102" t="e">
        <f t="shared" si="5"/>
        <v>#DIV/0!</v>
      </c>
      <c r="R30" s="106" t="e">
        <f t="shared" si="6"/>
        <v>#DIV/0!</v>
      </c>
      <c r="S30" s="25"/>
      <c r="T30" s="25"/>
      <c r="U30" s="25"/>
      <c r="V30" s="25"/>
      <c r="W30" s="25"/>
      <c r="X30" s="25"/>
      <c r="Y30" s="25"/>
      <c r="Z30" s="25"/>
      <c r="AA30" s="25"/>
      <c r="AB30" s="25"/>
      <c r="AC30" s="25"/>
      <c r="AD30" s="25"/>
      <c r="AE30" s="25"/>
      <c r="AF30" s="25"/>
      <c r="AG30" s="25"/>
      <c r="AH30" s="25"/>
      <c r="AI30" s="25"/>
      <c r="AJ30" s="25"/>
    </row>
    <row r="31" spans="1:36">
      <c r="B31" s="25">
        <v>81.7</v>
      </c>
      <c r="C31" s="61">
        <v>24.1</v>
      </c>
      <c r="D31" s="25" t="s">
        <v>481</v>
      </c>
      <c r="E31" s="25"/>
      <c r="F31" s="25"/>
      <c r="G31" s="25"/>
      <c r="H31" s="25"/>
      <c r="I31" s="62"/>
      <c r="J31" s="25"/>
      <c r="K31" s="62"/>
      <c r="L31" s="104" t="e">
        <f t="shared" si="0"/>
        <v>#DIV/0!</v>
      </c>
      <c r="M31" s="36">
        <f t="shared" si="1"/>
        <v>5.6167354629738204</v>
      </c>
      <c r="N31" s="63">
        <f t="shared" si="2"/>
        <v>0</v>
      </c>
      <c r="O31" s="63">
        <f t="shared" si="3"/>
        <v>0</v>
      </c>
      <c r="P31" s="105">
        <f t="shared" si="4"/>
        <v>0</v>
      </c>
      <c r="Q31" s="102" t="e">
        <f t="shared" si="5"/>
        <v>#DIV/0!</v>
      </c>
      <c r="R31" s="106" t="e">
        <f t="shared" si="6"/>
        <v>#DIV/0!</v>
      </c>
      <c r="S31" s="25"/>
      <c r="T31" s="25"/>
      <c r="U31" s="25"/>
      <c r="V31" s="25"/>
      <c r="W31" s="25"/>
      <c r="X31" s="25"/>
      <c r="Y31" s="25"/>
      <c r="Z31" s="25"/>
      <c r="AA31" s="25"/>
      <c r="AB31" s="25"/>
      <c r="AC31" s="25"/>
      <c r="AD31" s="25"/>
      <c r="AE31" s="25"/>
      <c r="AF31" s="25"/>
      <c r="AG31" s="25"/>
      <c r="AH31" s="25"/>
      <c r="AI31" s="25"/>
      <c r="AJ31" s="25"/>
    </row>
    <row r="32" spans="1:36">
      <c r="B32" s="25">
        <v>81.7</v>
      </c>
      <c r="C32" s="61">
        <v>24.1</v>
      </c>
      <c r="D32" s="25" t="s">
        <v>481</v>
      </c>
      <c r="E32" s="25"/>
      <c r="F32" s="25"/>
      <c r="G32" s="25"/>
      <c r="H32" s="25"/>
      <c r="I32" s="62"/>
      <c r="J32" s="25"/>
      <c r="K32" s="62"/>
      <c r="L32" s="104" t="e">
        <f t="shared" si="0"/>
        <v>#DIV/0!</v>
      </c>
      <c r="M32" s="36">
        <f t="shared" si="1"/>
        <v>5.6167354629738204</v>
      </c>
      <c r="N32" s="63">
        <f t="shared" si="2"/>
        <v>0</v>
      </c>
      <c r="O32" s="63">
        <f t="shared" si="3"/>
        <v>0</v>
      </c>
      <c r="P32" s="105">
        <f t="shared" si="4"/>
        <v>0</v>
      </c>
      <c r="Q32" s="102" t="e">
        <f t="shared" si="5"/>
        <v>#DIV/0!</v>
      </c>
      <c r="R32" s="106" t="e">
        <f t="shared" si="6"/>
        <v>#DIV/0!</v>
      </c>
      <c r="S32" s="25"/>
      <c r="T32" s="25"/>
      <c r="U32" s="25"/>
      <c r="V32" s="25"/>
      <c r="W32" s="25"/>
      <c r="X32" s="25"/>
      <c r="Y32" s="25"/>
      <c r="Z32" s="25"/>
      <c r="AA32" s="25"/>
      <c r="AB32" s="25"/>
      <c r="AC32" s="25"/>
      <c r="AD32" s="25"/>
      <c r="AE32" s="25"/>
      <c r="AF32" s="25"/>
      <c r="AG32" s="25"/>
      <c r="AH32" s="25"/>
      <c r="AI32" s="25"/>
      <c r="AJ32" s="25"/>
    </row>
    <row r="33" spans="2:36">
      <c r="B33" s="25">
        <v>81.7</v>
      </c>
      <c r="C33" s="61">
        <v>24.1</v>
      </c>
      <c r="D33" s="25" t="s">
        <v>481</v>
      </c>
      <c r="E33" s="25"/>
      <c r="F33" s="25"/>
      <c r="G33" s="25"/>
      <c r="H33" s="25"/>
      <c r="I33" s="62"/>
      <c r="J33" s="25"/>
      <c r="K33" s="62"/>
      <c r="L33" s="104" t="e">
        <f t="shared" si="0"/>
        <v>#DIV/0!</v>
      </c>
      <c r="M33" s="36">
        <f t="shared" si="1"/>
        <v>5.6167354629738204</v>
      </c>
      <c r="N33" s="63">
        <f t="shared" si="2"/>
        <v>0</v>
      </c>
      <c r="O33" s="63">
        <f t="shared" si="3"/>
        <v>0</v>
      </c>
      <c r="P33" s="105">
        <f t="shared" si="4"/>
        <v>0</v>
      </c>
      <c r="Q33" s="102" t="e">
        <f t="shared" si="5"/>
        <v>#DIV/0!</v>
      </c>
      <c r="R33" s="106" t="e">
        <f t="shared" si="6"/>
        <v>#DIV/0!</v>
      </c>
      <c r="S33" s="25"/>
      <c r="T33" s="25"/>
      <c r="U33" s="25"/>
      <c r="V33" s="25"/>
      <c r="W33" s="25"/>
      <c r="X33" s="25"/>
      <c r="Y33" s="25"/>
      <c r="Z33" s="25"/>
      <c r="AA33" s="25"/>
      <c r="AB33" s="25"/>
      <c r="AC33" s="25"/>
      <c r="AD33" s="25"/>
      <c r="AE33" s="25"/>
      <c r="AF33" s="25"/>
      <c r="AG33" s="25"/>
      <c r="AH33" s="25"/>
      <c r="AI33" s="25"/>
      <c r="AJ33" s="25"/>
    </row>
    <row r="34" spans="2:36">
      <c r="B34" s="25">
        <v>81.7</v>
      </c>
      <c r="C34" s="61">
        <v>24.1</v>
      </c>
      <c r="D34" s="25" t="s">
        <v>481</v>
      </c>
      <c r="E34" s="25"/>
      <c r="F34" s="25"/>
      <c r="G34" s="25"/>
      <c r="H34" s="25"/>
      <c r="I34" s="62"/>
      <c r="J34" s="25"/>
      <c r="K34" s="62"/>
      <c r="L34" s="104" t="e">
        <f t="shared" si="0"/>
        <v>#DIV/0!</v>
      </c>
      <c r="M34" s="36">
        <f t="shared" si="1"/>
        <v>5.6167354629738204</v>
      </c>
      <c r="N34" s="63">
        <f t="shared" si="2"/>
        <v>0</v>
      </c>
      <c r="O34" s="63">
        <f t="shared" si="3"/>
        <v>0</v>
      </c>
      <c r="P34" s="105">
        <f t="shared" si="4"/>
        <v>0</v>
      </c>
      <c r="Q34" s="102" t="e">
        <f t="shared" si="5"/>
        <v>#DIV/0!</v>
      </c>
      <c r="R34" s="106" t="e">
        <f t="shared" si="6"/>
        <v>#DIV/0!</v>
      </c>
      <c r="S34" s="25"/>
      <c r="T34" s="25"/>
      <c r="U34" s="25"/>
      <c r="V34" s="25"/>
      <c r="W34" s="25"/>
      <c r="X34" s="25"/>
      <c r="Y34" s="25"/>
      <c r="Z34" s="25"/>
      <c r="AA34" s="25"/>
      <c r="AB34" s="25"/>
      <c r="AC34" s="25"/>
      <c r="AD34" s="25"/>
      <c r="AE34" s="25"/>
      <c r="AF34" s="25"/>
      <c r="AG34" s="25"/>
      <c r="AH34" s="25"/>
      <c r="AI34" s="25"/>
      <c r="AJ34" s="25"/>
    </row>
    <row r="35" spans="2:36">
      <c r="B35" s="25">
        <v>81.7</v>
      </c>
      <c r="C35" s="61">
        <v>24.1</v>
      </c>
      <c r="D35" s="25" t="s">
        <v>481</v>
      </c>
      <c r="E35" s="25"/>
      <c r="F35" s="25"/>
      <c r="G35" s="25"/>
      <c r="H35" s="25"/>
      <c r="I35" s="62"/>
      <c r="J35" s="25"/>
      <c r="K35" s="62"/>
      <c r="L35" s="104" t="e">
        <f t="shared" si="0"/>
        <v>#DIV/0!</v>
      </c>
      <c r="M35" s="36">
        <f t="shared" si="1"/>
        <v>5.6167354629738204</v>
      </c>
      <c r="N35" s="63">
        <f t="shared" si="2"/>
        <v>0</v>
      </c>
      <c r="O35" s="63">
        <f t="shared" si="3"/>
        <v>0</v>
      </c>
      <c r="P35" s="105">
        <f t="shared" si="4"/>
        <v>0</v>
      </c>
      <c r="Q35" s="102" t="e">
        <f t="shared" si="5"/>
        <v>#DIV/0!</v>
      </c>
      <c r="R35" s="106" t="e">
        <f t="shared" si="6"/>
        <v>#DIV/0!</v>
      </c>
      <c r="S35" s="25"/>
      <c r="T35" s="25"/>
      <c r="U35" s="25"/>
      <c r="V35" s="25"/>
      <c r="W35" s="25"/>
      <c r="X35" s="25"/>
      <c r="Y35" s="25"/>
      <c r="Z35" s="25"/>
      <c r="AA35" s="25"/>
      <c r="AB35" s="25"/>
      <c r="AC35" s="25"/>
      <c r="AD35" s="25"/>
      <c r="AE35" s="25"/>
      <c r="AF35" s="25"/>
      <c r="AG35" s="25"/>
      <c r="AH35" s="25"/>
      <c r="AI35" s="25"/>
      <c r="AJ35" s="25"/>
    </row>
    <row r="36" spans="2:36">
      <c r="B36" s="25">
        <v>81.7</v>
      </c>
      <c r="C36" s="61">
        <v>24.1</v>
      </c>
      <c r="D36" s="25" t="s">
        <v>481</v>
      </c>
      <c r="E36" s="25"/>
      <c r="F36" s="25"/>
      <c r="G36" s="25"/>
      <c r="H36" s="25"/>
      <c r="I36" s="62"/>
      <c r="J36" s="25"/>
      <c r="K36" s="62"/>
      <c r="L36" s="104" t="e">
        <f t="shared" si="0"/>
        <v>#DIV/0!</v>
      </c>
      <c r="M36" s="36">
        <f t="shared" si="1"/>
        <v>5.6167354629738204</v>
      </c>
      <c r="N36" s="63">
        <f t="shared" si="2"/>
        <v>0</v>
      </c>
      <c r="O36" s="63">
        <f t="shared" si="3"/>
        <v>0</v>
      </c>
      <c r="P36" s="105">
        <f t="shared" si="4"/>
        <v>0</v>
      </c>
      <c r="Q36" s="102" t="e">
        <f t="shared" si="5"/>
        <v>#DIV/0!</v>
      </c>
      <c r="R36" s="106" t="e">
        <f t="shared" si="6"/>
        <v>#DIV/0!</v>
      </c>
      <c r="S36" s="25"/>
      <c r="T36" s="25"/>
      <c r="U36" s="25"/>
      <c r="V36" s="25"/>
      <c r="W36" s="25"/>
      <c r="X36" s="25"/>
      <c r="Y36" s="25"/>
      <c r="Z36" s="25"/>
      <c r="AA36" s="25"/>
      <c r="AB36" s="25"/>
      <c r="AC36" s="25"/>
      <c r="AD36" s="25"/>
      <c r="AE36" s="25"/>
      <c r="AF36" s="25"/>
      <c r="AG36" s="25"/>
      <c r="AH36" s="25"/>
      <c r="AI36" s="25"/>
      <c r="AJ36" s="25"/>
    </row>
    <row r="37" spans="2:36">
      <c r="B37" s="25">
        <v>81.7</v>
      </c>
      <c r="C37" s="61">
        <v>24.1</v>
      </c>
      <c r="D37" s="25" t="s">
        <v>481</v>
      </c>
      <c r="E37" s="25"/>
      <c r="F37" s="25"/>
      <c r="G37" s="25"/>
      <c r="H37" s="25"/>
      <c r="I37" s="62"/>
      <c r="J37" s="25"/>
      <c r="K37" s="62"/>
      <c r="L37" s="104" t="e">
        <f t="shared" si="0"/>
        <v>#DIV/0!</v>
      </c>
      <c r="M37" s="36">
        <f t="shared" si="1"/>
        <v>5.6167354629738204</v>
      </c>
      <c r="N37" s="63">
        <f t="shared" si="2"/>
        <v>0</v>
      </c>
      <c r="O37" s="63">
        <f t="shared" si="3"/>
        <v>0</v>
      </c>
      <c r="P37" s="105">
        <f t="shared" si="4"/>
        <v>0</v>
      </c>
      <c r="Q37" s="102" t="e">
        <f t="shared" si="5"/>
        <v>#DIV/0!</v>
      </c>
      <c r="R37" s="106" t="e">
        <f t="shared" si="6"/>
        <v>#DIV/0!</v>
      </c>
      <c r="S37" s="25"/>
      <c r="T37" s="25"/>
      <c r="U37" s="25"/>
      <c r="V37" s="25"/>
      <c r="W37" s="25"/>
      <c r="X37" s="25"/>
      <c r="Y37" s="25"/>
      <c r="Z37" s="25"/>
      <c r="AA37" s="25"/>
      <c r="AB37" s="25"/>
      <c r="AC37" s="25"/>
      <c r="AD37" s="25"/>
      <c r="AE37" s="25"/>
      <c r="AF37" s="25"/>
      <c r="AG37" s="25"/>
      <c r="AH37" s="25"/>
      <c r="AI37" s="25"/>
      <c r="AJ37" s="25"/>
    </row>
    <row r="38" spans="2:36">
      <c r="B38" s="25">
        <v>81.7</v>
      </c>
      <c r="C38" s="61">
        <v>24.1</v>
      </c>
      <c r="D38" s="25" t="s">
        <v>481</v>
      </c>
      <c r="E38" s="25"/>
      <c r="F38" s="25"/>
      <c r="G38" s="25"/>
      <c r="H38" s="25"/>
      <c r="I38" s="62"/>
      <c r="J38" s="25"/>
      <c r="K38" s="62"/>
      <c r="L38" s="104" t="e">
        <f t="shared" si="0"/>
        <v>#DIV/0!</v>
      </c>
      <c r="M38" s="36">
        <f t="shared" si="1"/>
        <v>5.6167354629738204</v>
      </c>
      <c r="N38" s="63">
        <f t="shared" si="2"/>
        <v>0</v>
      </c>
      <c r="O38" s="63">
        <f t="shared" si="3"/>
        <v>0</v>
      </c>
      <c r="P38" s="105">
        <f t="shared" si="4"/>
        <v>0</v>
      </c>
      <c r="Q38" s="102" t="e">
        <f t="shared" si="5"/>
        <v>#DIV/0!</v>
      </c>
      <c r="R38" s="106" t="e">
        <f t="shared" si="6"/>
        <v>#DIV/0!</v>
      </c>
      <c r="S38" s="25"/>
      <c r="T38" s="25"/>
      <c r="U38" s="25"/>
      <c r="V38" s="25"/>
      <c r="W38" s="25"/>
      <c r="X38" s="25"/>
      <c r="Y38" s="25"/>
      <c r="Z38" s="25"/>
      <c r="AA38" s="25"/>
      <c r="AB38" s="25"/>
      <c r="AC38" s="25"/>
      <c r="AD38" s="25"/>
      <c r="AE38" s="25"/>
      <c r="AF38" s="25"/>
      <c r="AG38" s="25"/>
      <c r="AH38" s="25"/>
      <c r="AI38" s="25"/>
      <c r="AJ38" s="25"/>
    </row>
    <row r="39" spans="2:36">
      <c r="B39" s="25">
        <v>81.7</v>
      </c>
      <c r="C39" s="61">
        <v>24.1</v>
      </c>
      <c r="D39" s="25" t="s">
        <v>481</v>
      </c>
      <c r="E39" s="25"/>
      <c r="F39" s="25"/>
      <c r="G39" s="25"/>
      <c r="H39" s="25"/>
      <c r="I39" s="62"/>
      <c r="J39" s="25"/>
      <c r="K39" s="62"/>
      <c r="L39" s="104" t="e">
        <f t="shared" si="0"/>
        <v>#DIV/0!</v>
      </c>
      <c r="M39" s="36">
        <f t="shared" si="1"/>
        <v>5.6167354629738204</v>
      </c>
      <c r="N39" s="63">
        <f t="shared" si="2"/>
        <v>0</v>
      </c>
      <c r="O39" s="63">
        <f t="shared" si="3"/>
        <v>0</v>
      </c>
      <c r="P39" s="105">
        <f t="shared" si="4"/>
        <v>0</v>
      </c>
      <c r="Q39" s="102" t="e">
        <f t="shared" si="5"/>
        <v>#DIV/0!</v>
      </c>
      <c r="R39" s="106" t="e">
        <f t="shared" si="6"/>
        <v>#DIV/0!</v>
      </c>
      <c r="S39" s="25"/>
      <c r="T39" s="25"/>
      <c r="U39" s="25"/>
      <c r="V39" s="25"/>
      <c r="W39" s="25"/>
      <c r="X39" s="25"/>
      <c r="Y39" s="25"/>
      <c r="Z39" s="25"/>
      <c r="AA39" s="25"/>
      <c r="AB39" s="25"/>
      <c r="AC39" s="25"/>
      <c r="AD39" s="25"/>
      <c r="AE39" s="25"/>
      <c r="AF39" s="25"/>
      <c r="AG39" s="25"/>
      <c r="AH39" s="25"/>
      <c r="AI39" s="25"/>
      <c r="AJ39" s="25"/>
    </row>
    <row r="40" spans="2:36">
      <c r="B40" s="25">
        <v>81.7</v>
      </c>
      <c r="C40" s="61">
        <v>24.1</v>
      </c>
      <c r="D40" s="25" t="s">
        <v>481</v>
      </c>
      <c r="E40" s="25"/>
      <c r="F40" s="25"/>
      <c r="G40" s="25"/>
      <c r="H40" s="25"/>
      <c r="I40" s="62"/>
      <c r="J40" s="25"/>
      <c r="K40" s="62"/>
      <c r="L40" s="104" t="e">
        <f t="shared" si="0"/>
        <v>#DIV/0!</v>
      </c>
      <c r="M40" s="36">
        <f t="shared" si="1"/>
        <v>5.6167354629738204</v>
      </c>
      <c r="N40" s="63">
        <f t="shared" si="2"/>
        <v>0</v>
      </c>
      <c r="O40" s="63">
        <f t="shared" si="3"/>
        <v>0</v>
      </c>
      <c r="P40" s="105">
        <f t="shared" si="4"/>
        <v>0</v>
      </c>
      <c r="Q40" s="102" t="e">
        <f t="shared" si="5"/>
        <v>#DIV/0!</v>
      </c>
      <c r="R40" s="106" t="e">
        <f t="shared" si="6"/>
        <v>#DIV/0!</v>
      </c>
      <c r="S40" s="25"/>
      <c r="T40" s="25"/>
      <c r="U40" s="25"/>
      <c r="V40" s="25"/>
      <c r="W40" s="25"/>
      <c r="X40" s="25"/>
      <c r="Y40" s="25"/>
      <c r="Z40" s="25"/>
      <c r="AA40" s="25"/>
      <c r="AB40" s="25"/>
      <c r="AC40" s="25"/>
      <c r="AD40" s="25"/>
      <c r="AE40" s="25"/>
      <c r="AF40" s="25"/>
      <c r="AG40" s="25"/>
      <c r="AH40" s="25"/>
      <c r="AI40" s="25"/>
      <c r="AJ40" s="25"/>
    </row>
    <row r="41" spans="2:36">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row>
    <row r="42" spans="2:36">
      <c r="C42" s="25"/>
      <c r="D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row>
    <row r="43" spans="2:36">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row>
    <row r="44" spans="2:36">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row>
    <row r="45" spans="2:36">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row>
    <row r="46" spans="2:36">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row>
    <row r="47" spans="2:36">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row>
    <row r="48" spans="2:36">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row>
    <row r="49" spans="2:36">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row>
    <row r="50" spans="2:36">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row>
    <row r="51" spans="2:36">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row>
    <row r="52" spans="2:36">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row>
    <row r="53" spans="2:36">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row>
    <row r="54" spans="2:36">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row>
    <row r="55" spans="2:36">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row>
    <row r="56" spans="2:36">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row>
    <row r="57" spans="2:36">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row>
    <row r="58" spans="2:36">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row>
    <row r="59" spans="2:36">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row>
    <row r="60" spans="2:36">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row>
    <row r="61" spans="2:36">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row>
    <row r="62" spans="2:36">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row>
    <row r="63" spans="2:36">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row>
    <row r="64" spans="2:36">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row>
    <row r="65" spans="2:36">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row>
    <row r="66" spans="2:36">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row>
    <row r="67" spans="2:36">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row>
    <row r="68" spans="2:36">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row>
    <row r="69" spans="2:36">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row>
    <row r="70" spans="2:36">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row>
    <row r="71" spans="2:36">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row>
    <row r="72" spans="2:36">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row>
    <row r="73" spans="2:36">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row>
    <row r="74" spans="2:36">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row>
    <row r="75" spans="2:36">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row>
    <row r="76" spans="2:36">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row>
    <row r="77" spans="2:36">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row>
    <row r="78" spans="2:36">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row>
    <row r="79" spans="2:36">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row>
    <row r="80" spans="2:36">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row>
    <row r="81" spans="2:36">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row>
    <row r="82" spans="2:36">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row>
    <row r="83" spans="2:36">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row>
    <row r="84" spans="2:36">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row>
    <row r="85" spans="2:36">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row>
    <row r="86" spans="2:36">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row>
    <row r="87" spans="2:36">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row>
    <row r="88" spans="2:36">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row>
    <row r="89" spans="2:36">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row>
    <row r="90" spans="2:36">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row>
    <row r="91" spans="2:36">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row>
    <row r="92" spans="2:36">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row>
    <row r="93" spans="2:36">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row>
    <row r="94" spans="2:36">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row>
    <row r="95" spans="2:36">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row>
    <row r="96" spans="2:36">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row>
    <row r="97" spans="2:36">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row>
    <row r="98" spans="2:36">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row>
    <row r="99" spans="2:36">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row>
    <row r="100" spans="2:36">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row>
    <row r="101" spans="2:36">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row>
    <row r="102" spans="2:36">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row>
    <row r="103" spans="2:36">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row>
  </sheetData>
  <mergeCells count="1">
    <mergeCell ref="I4:M4"/>
  </mergeCells>
  <conditionalFormatting sqref="P13:P40">
    <cfRule type="colorScale" priority="1">
      <colorScale>
        <cfvo type="formula" val="6"/>
        <cfvo type="formula" val="15"/>
        <cfvo type="formula" val="25"/>
        <color rgb="FF93C47D"/>
        <color rgb="FFF6B26B"/>
        <color rgb="FFFF0000"/>
      </colorScale>
    </cfRule>
    <cfRule type="colorScale" priority="2">
      <colorScale>
        <cfvo type="formula" val="5"/>
        <cfvo type="formula" val="10"/>
        <cfvo type="formula" val="15"/>
        <color rgb="FFFFFFFF"/>
        <color rgb="FFFFFFFF"/>
        <color rgb="FFE67C73"/>
      </colorScale>
    </cfRule>
  </conditionalFormatting>
  <conditionalFormatting sqref="Q13:Q40">
    <cfRule type="colorScale" priority="3">
      <colorScale>
        <cfvo type="formula" val="0.9"/>
        <cfvo type="formula" val="0.97"/>
        <cfvo type="formula" val="0.98"/>
        <color rgb="FFFFFFFF"/>
        <color rgb="FF00FF00"/>
        <color rgb="FF00FFFF"/>
      </colorScale>
    </cfRule>
  </conditionalFormatting>
  <dataValidations count="1">
    <dataValidation type="list" allowBlank="1" showErrorMessage="1" sqref="L11" xr:uid="{00000000-0002-0000-0500-000000000000}">
      <formula1>"no,12V BeQuite 80mm, side distance 10cm,3.8 V Ultrafan 30mm, top cooled"</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L103"/>
  <sheetViews>
    <sheetView workbookViewId="0"/>
  </sheetViews>
  <sheetFormatPr defaultColWidth="12.7109375" defaultRowHeight="15.75" customHeight="1"/>
  <cols>
    <col min="1" max="1" width="24.85546875" customWidth="1"/>
    <col min="2" max="2" width="10.42578125" customWidth="1"/>
    <col min="3" max="3" width="11" customWidth="1"/>
    <col min="4" max="4" width="10.28515625" customWidth="1"/>
    <col min="5" max="5" width="12" customWidth="1"/>
    <col min="6" max="6" width="9.85546875" customWidth="1"/>
    <col min="7" max="8" width="11.7109375" customWidth="1"/>
    <col min="9" max="9" width="9.7109375" customWidth="1"/>
    <col min="11" max="11" width="15.7109375" customWidth="1"/>
    <col min="17" max="17" width="17.28515625" customWidth="1"/>
  </cols>
  <sheetData>
    <row r="1" spans="1:38">
      <c r="A1" s="11" t="s">
        <v>407</v>
      </c>
      <c r="C1" s="61"/>
      <c r="D1" s="25"/>
      <c r="E1" s="25"/>
      <c r="F1" s="25"/>
      <c r="G1" s="25"/>
      <c r="H1" s="25"/>
      <c r="I1" s="62"/>
      <c r="J1" s="25"/>
      <c r="K1" s="61"/>
      <c r="L1" s="63"/>
      <c r="M1" s="54"/>
      <c r="N1" s="64"/>
      <c r="O1" s="63"/>
    </row>
    <row r="2" spans="1:38">
      <c r="A2" s="3" t="s">
        <v>489</v>
      </c>
      <c r="C2" s="61"/>
      <c r="D2" s="25"/>
      <c r="E2" s="25"/>
      <c r="F2" s="25"/>
      <c r="G2" s="25"/>
      <c r="H2" s="25"/>
      <c r="I2" s="62"/>
      <c r="J2" s="25"/>
      <c r="K2" s="61"/>
      <c r="L2" s="63"/>
      <c r="M2" s="54"/>
      <c r="N2" s="64"/>
      <c r="O2" s="63"/>
    </row>
    <row r="3" spans="1:38">
      <c r="A3" s="14" t="s">
        <v>409</v>
      </c>
      <c r="C3" s="61"/>
      <c r="D3" s="25"/>
      <c r="E3" s="25"/>
      <c r="F3" s="25"/>
      <c r="G3" s="25"/>
      <c r="H3" s="25"/>
      <c r="I3" s="62"/>
      <c r="J3" s="25"/>
      <c r="K3" s="61"/>
      <c r="L3" s="63"/>
      <c r="M3" s="54"/>
      <c r="N3" s="64"/>
      <c r="O3" s="63"/>
    </row>
    <row r="4" spans="1:38">
      <c r="A4" s="65" t="s">
        <v>410</v>
      </c>
      <c r="B4" s="65"/>
      <c r="C4" s="66"/>
      <c r="D4" s="67"/>
      <c r="E4" s="67"/>
      <c r="F4" s="68" t="s">
        <v>411</v>
      </c>
      <c r="G4" s="69"/>
      <c r="H4" s="69"/>
      <c r="I4" s="398" t="s">
        <v>412</v>
      </c>
      <c r="J4" s="399"/>
      <c r="K4" s="399"/>
      <c r="L4" s="399"/>
      <c r="M4" s="399"/>
      <c r="N4" s="64"/>
      <c r="O4" s="63"/>
    </row>
    <row r="5" spans="1:38">
      <c r="A5" s="14" t="s">
        <v>413</v>
      </c>
      <c r="C5" s="61"/>
      <c r="D5" s="25"/>
      <c r="E5" s="25"/>
      <c r="F5" s="25"/>
      <c r="G5" s="25"/>
      <c r="H5" s="25"/>
      <c r="I5" s="62"/>
      <c r="J5" s="25"/>
      <c r="K5" s="61"/>
      <c r="L5" s="63"/>
      <c r="M5" s="54"/>
      <c r="N5" s="64"/>
      <c r="O5" s="63"/>
    </row>
    <row r="6" spans="1:38">
      <c r="A6" s="70" t="s">
        <v>414</v>
      </c>
      <c r="B6" s="71"/>
      <c r="C6" s="72"/>
      <c r="D6" s="73"/>
      <c r="E6" s="73"/>
      <c r="F6" s="73"/>
      <c r="G6" s="73"/>
      <c r="H6" s="73"/>
      <c r="I6" s="74"/>
      <c r="J6" s="73"/>
      <c r="K6" s="72"/>
      <c r="L6" s="63"/>
      <c r="M6" s="54"/>
      <c r="N6" s="64"/>
      <c r="O6" s="63"/>
    </row>
    <row r="7" spans="1:38">
      <c r="A7" s="25"/>
      <c r="C7" s="61"/>
      <c r="D7" s="25"/>
      <c r="E7" s="25"/>
      <c r="F7" s="25"/>
      <c r="G7" s="25"/>
      <c r="H7" s="25"/>
      <c r="I7" s="62"/>
      <c r="J7" s="25"/>
      <c r="K7" s="61"/>
      <c r="L7" s="63"/>
      <c r="M7" s="54"/>
      <c r="N7" s="64"/>
      <c r="O7" s="63"/>
    </row>
    <row r="8" spans="1:38">
      <c r="A8" s="16" t="s">
        <v>490</v>
      </c>
      <c r="B8" s="25"/>
      <c r="C8" s="61"/>
      <c r="D8" s="25"/>
      <c r="E8" s="25"/>
      <c r="F8" s="25"/>
      <c r="G8" s="25"/>
      <c r="H8" s="25"/>
      <c r="I8" s="62"/>
      <c r="J8" s="25"/>
      <c r="K8" s="61"/>
      <c r="L8" s="63"/>
      <c r="M8" s="54"/>
      <c r="N8" s="64"/>
      <c r="O8" s="63"/>
    </row>
    <row r="9" spans="1:38">
      <c r="A9" s="16"/>
      <c r="B9" s="25"/>
      <c r="C9" s="61"/>
      <c r="D9" s="25"/>
      <c r="E9" s="25"/>
      <c r="F9" s="25"/>
      <c r="G9" s="25"/>
      <c r="H9" s="25"/>
      <c r="I9" s="62"/>
      <c r="J9" s="25"/>
      <c r="K9" s="61"/>
      <c r="L9" s="63"/>
      <c r="M9" s="54"/>
      <c r="N9" s="64"/>
      <c r="O9" s="63"/>
    </row>
    <row r="10" spans="1:38">
      <c r="A10" s="75" t="s">
        <v>415</v>
      </c>
      <c r="B10" s="47" t="s">
        <v>416</v>
      </c>
      <c r="C10" s="47" t="s">
        <v>21</v>
      </c>
      <c r="D10" s="47" t="s">
        <v>417</v>
      </c>
      <c r="E10" s="52" t="s">
        <v>418</v>
      </c>
      <c r="F10" s="76" t="s">
        <v>419</v>
      </c>
      <c r="G10" s="47" t="s">
        <v>420</v>
      </c>
      <c r="H10" s="77" t="s">
        <v>421</v>
      </c>
      <c r="I10" s="76" t="s">
        <v>422</v>
      </c>
      <c r="J10" s="47" t="s">
        <v>423</v>
      </c>
      <c r="K10" s="76" t="s">
        <v>424</v>
      </c>
      <c r="L10" s="78" t="s">
        <v>425</v>
      </c>
      <c r="M10" s="79" t="s">
        <v>426</v>
      </c>
      <c r="N10" s="47" t="s">
        <v>427</v>
      </c>
      <c r="O10" s="79" t="s">
        <v>428</v>
      </c>
      <c r="P10" s="52" t="s">
        <v>429</v>
      </c>
      <c r="Q10" s="80" t="s">
        <v>430</v>
      </c>
      <c r="R10" s="47" t="s">
        <v>431</v>
      </c>
      <c r="S10" s="47" t="s">
        <v>432</v>
      </c>
      <c r="T10" s="47" t="s">
        <v>433</v>
      </c>
      <c r="U10" s="47" t="s">
        <v>434</v>
      </c>
      <c r="W10" s="25"/>
      <c r="X10" s="79"/>
      <c r="Y10" s="79"/>
      <c r="Z10" s="47"/>
      <c r="AA10" s="47"/>
      <c r="AB10" s="47"/>
      <c r="AC10" s="47"/>
      <c r="AD10" s="47"/>
      <c r="AE10" s="47"/>
      <c r="AF10" s="47"/>
      <c r="AG10" s="47"/>
      <c r="AH10" s="47"/>
      <c r="AI10" s="47"/>
      <c r="AJ10" s="75"/>
      <c r="AK10" s="75"/>
      <c r="AL10" s="75"/>
    </row>
    <row r="11" spans="1:38">
      <c r="A11" s="3"/>
      <c r="B11" s="38"/>
      <c r="C11" s="81"/>
      <c r="D11" s="82"/>
      <c r="E11" s="25"/>
      <c r="F11" s="83"/>
      <c r="G11" s="38"/>
      <c r="H11" s="61"/>
      <c r="I11" s="61"/>
      <c r="J11" s="84"/>
      <c r="K11" s="61"/>
      <c r="L11" s="85" t="s">
        <v>442</v>
      </c>
      <c r="M11" s="115" t="s">
        <v>443</v>
      </c>
      <c r="N11" s="115" t="s">
        <v>443</v>
      </c>
      <c r="O11" s="115" t="s">
        <v>444</v>
      </c>
      <c r="P11" s="116" t="s">
        <v>444</v>
      </c>
      <c r="Q11" s="117" t="s">
        <v>445</v>
      </c>
      <c r="R11" s="118" t="s">
        <v>446</v>
      </c>
      <c r="S11" s="118" t="s">
        <v>447</v>
      </c>
      <c r="T11" s="118" t="s">
        <v>448</v>
      </c>
      <c r="U11" s="118" t="s">
        <v>449</v>
      </c>
      <c r="W11" s="25"/>
      <c r="X11" s="63"/>
      <c r="Y11" s="38"/>
      <c r="Z11" s="25"/>
      <c r="AA11" s="38"/>
      <c r="AB11" s="38"/>
      <c r="AC11" s="38"/>
      <c r="AD11" s="38"/>
      <c r="AE11" s="38"/>
      <c r="AF11" s="38"/>
      <c r="AG11" s="38"/>
      <c r="AH11" s="38"/>
      <c r="AI11" s="38"/>
      <c r="AJ11" s="16"/>
      <c r="AK11" s="16"/>
      <c r="AL11" s="16"/>
    </row>
    <row r="12" spans="1:38">
      <c r="A12" s="47" t="s">
        <v>450</v>
      </c>
      <c r="B12" s="87" t="s">
        <v>451</v>
      </c>
      <c r="C12" s="88" t="s">
        <v>452</v>
      </c>
      <c r="D12" s="87" t="s">
        <v>453</v>
      </c>
      <c r="E12" s="88" t="s">
        <v>454</v>
      </c>
      <c r="F12" s="89" t="s">
        <v>455</v>
      </c>
      <c r="G12" s="87" t="s">
        <v>456</v>
      </c>
      <c r="H12" s="87" t="s">
        <v>491</v>
      </c>
      <c r="I12" s="88" t="s">
        <v>458</v>
      </c>
      <c r="J12" s="87" t="s">
        <v>459</v>
      </c>
      <c r="K12" s="87" t="s">
        <v>460</v>
      </c>
      <c r="L12" s="90" t="s">
        <v>461</v>
      </c>
      <c r="M12" s="91" t="s">
        <v>463</v>
      </c>
      <c r="N12" s="119" t="s">
        <v>464</v>
      </c>
      <c r="O12" s="119" t="s">
        <v>465</v>
      </c>
      <c r="P12" s="120" t="s">
        <v>367</v>
      </c>
      <c r="Q12" s="94" t="s">
        <v>466</v>
      </c>
      <c r="R12" s="95" t="s">
        <v>467</v>
      </c>
      <c r="S12" s="95" t="s">
        <v>468</v>
      </c>
      <c r="T12" s="96" t="s">
        <v>469</v>
      </c>
      <c r="U12" s="96" t="s">
        <v>470</v>
      </c>
      <c r="V12" s="96" t="s">
        <v>471</v>
      </c>
      <c r="W12" s="96" t="s">
        <v>472</v>
      </c>
      <c r="X12" s="96" t="s">
        <v>473</v>
      </c>
      <c r="Y12" s="96" t="s">
        <v>474</v>
      </c>
      <c r="Z12" s="96" t="s">
        <v>475</v>
      </c>
      <c r="AA12" s="97" t="s">
        <v>476</v>
      </c>
      <c r="AB12" s="96" t="s">
        <v>477</v>
      </c>
      <c r="AC12" s="96" t="s">
        <v>478</v>
      </c>
      <c r="AD12" s="96" t="s">
        <v>479</v>
      </c>
      <c r="AE12" s="38"/>
      <c r="AF12" s="61"/>
      <c r="AG12" s="38"/>
      <c r="AH12" s="38"/>
      <c r="AI12" s="47"/>
      <c r="AJ12" s="75"/>
      <c r="AK12" s="75"/>
      <c r="AL12" s="75"/>
    </row>
    <row r="13" spans="1:38">
      <c r="A13" s="71"/>
      <c r="B13" s="73"/>
      <c r="C13" s="72"/>
      <c r="D13" s="73"/>
      <c r="E13" s="73"/>
      <c r="F13" s="73"/>
      <c r="G13" s="73"/>
      <c r="H13" s="73"/>
      <c r="I13" s="74"/>
      <c r="J13" s="73"/>
      <c r="K13" s="74"/>
      <c r="L13" s="98" t="e">
        <f t="shared" ref="L13:L40" si="0">(J13/1000)*1/(2*PI()*0.0000000224*I13*1000)</f>
        <v>#DIV/0!</v>
      </c>
      <c r="M13" s="100">
        <f t="shared" ref="M13:M40" si="1">E13*F13/1000</f>
        <v>0</v>
      </c>
      <c r="N13" s="63">
        <f t="shared" ref="N13:N40" si="2">H13*G13</f>
        <v>0</v>
      </c>
      <c r="O13" s="105">
        <f t="shared" ref="O13:O40" si="3">M13-N13</f>
        <v>0</v>
      </c>
      <c r="P13" s="121" t="e">
        <f t="shared" ref="P13:P40" si="4">N13/M13</f>
        <v>#DIV/0!</v>
      </c>
      <c r="Q13" s="103" t="e">
        <f t="shared" ref="Q13:Q40" si="5">28/2*(1/((E13/G13)*0.5))</f>
        <v>#DIV/0!</v>
      </c>
      <c r="R13" s="73"/>
      <c r="S13" s="73"/>
      <c r="T13" s="73"/>
      <c r="U13" s="73"/>
      <c r="V13" s="73"/>
      <c r="W13" s="73"/>
      <c r="X13" s="73"/>
      <c r="Y13" s="73"/>
      <c r="Z13" s="73"/>
      <c r="AA13" s="73"/>
      <c r="AB13" s="73"/>
      <c r="AC13" s="73"/>
      <c r="AD13" s="73"/>
      <c r="AE13" s="25"/>
      <c r="AF13" s="63"/>
      <c r="AG13" s="114"/>
      <c r="AH13" s="25"/>
      <c r="AI13" s="25"/>
      <c r="AJ13" s="3"/>
      <c r="AK13" s="3"/>
      <c r="AL13" s="3"/>
    </row>
    <row r="14" spans="1:38">
      <c r="B14" s="52"/>
      <c r="C14" s="61"/>
      <c r="D14" s="25"/>
      <c r="E14" s="25"/>
      <c r="F14" s="25"/>
      <c r="G14" s="25"/>
      <c r="H14" s="25"/>
      <c r="I14" s="62"/>
      <c r="J14" s="25"/>
      <c r="K14" s="62"/>
      <c r="L14" s="104" t="e">
        <f t="shared" si="0"/>
        <v>#DIV/0!</v>
      </c>
      <c r="M14" s="63">
        <f t="shared" si="1"/>
        <v>0</v>
      </c>
      <c r="N14" s="63">
        <f t="shared" si="2"/>
        <v>0</v>
      </c>
      <c r="O14" s="105">
        <f t="shared" si="3"/>
        <v>0</v>
      </c>
      <c r="P14" s="114" t="e">
        <f t="shared" si="4"/>
        <v>#DIV/0!</v>
      </c>
      <c r="Q14" s="106" t="e">
        <f t="shared" si="5"/>
        <v>#DIV/0!</v>
      </c>
      <c r="R14" s="25"/>
      <c r="S14" s="25"/>
      <c r="T14" s="25"/>
      <c r="U14" s="25"/>
      <c r="V14" s="25"/>
      <c r="W14" s="25"/>
      <c r="X14" s="25"/>
      <c r="Y14" s="25"/>
      <c r="Z14" s="25"/>
      <c r="AA14" s="25"/>
      <c r="AB14" s="25"/>
      <c r="AC14" s="25"/>
      <c r="AD14" s="25"/>
      <c r="AE14" s="25"/>
      <c r="AF14" s="63"/>
      <c r="AG14" s="114"/>
      <c r="AH14" s="25"/>
      <c r="AI14" s="25"/>
    </row>
    <row r="15" spans="1:38">
      <c r="B15" s="52"/>
      <c r="C15" s="61"/>
      <c r="D15" s="25"/>
      <c r="E15" s="25"/>
      <c r="F15" s="25"/>
      <c r="G15" s="25"/>
      <c r="H15" s="25"/>
      <c r="I15" s="62"/>
      <c r="J15" s="25"/>
      <c r="K15" s="62"/>
      <c r="L15" s="104" t="e">
        <f t="shared" si="0"/>
        <v>#DIV/0!</v>
      </c>
      <c r="M15" s="63">
        <f t="shared" si="1"/>
        <v>0</v>
      </c>
      <c r="N15" s="63">
        <f t="shared" si="2"/>
        <v>0</v>
      </c>
      <c r="O15" s="105">
        <f t="shared" si="3"/>
        <v>0</v>
      </c>
      <c r="P15" s="114" t="e">
        <f t="shared" si="4"/>
        <v>#DIV/0!</v>
      </c>
      <c r="Q15" s="106" t="e">
        <f t="shared" si="5"/>
        <v>#DIV/0!</v>
      </c>
      <c r="R15" s="25"/>
      <c r="S15" s="25"/>
      <c r="T15" s="25"/>
      <c r="U15" s="25"/>
      <c r="V15" s="25"/>
      <c r="W15" s="25"/>
      <c r="X15" s="25"/>
      <c r="Y15" s="25"/>
      <c r="Z15" s="25"/>
      <c r="AA15" s="25"/>
      <c r="AB15" s="25"/>
      <c r="AC15" s="25"/>
      <c r="AD15" s="25"/>
      <c r="AE15" s="25"/>
      <c r="AF15" s="63"/>
      <c r="AG15" s="114"/>
      <c r="AH15" s="25"/>
      <c r="AI15" s="25"/>
    </row>
    <row r="16" spans="1:38">
      <c r="B16" s="25"/>
      <c r="C16" s="61"/>
      <c r="D16" s="25"/>
      <c r="E16" s="25"/>
      <c r="F16" s="25"/>
      <c r="G16" s="25"/>
      <c r="H16" s="25"/>
      <c r="I16" s="62"/>
      <c r="J16" s="25"/>
      <c r="K16" s="62"/>
      <c r="L16" s="104" t="e">
        <f t="shared" si="0"/>
        <v>#DIV/0!</v>
      </c>
      <c r="M16" s="63">
        <f t="shared" si="1"/>
        <v>0</v>
      </c>
      <c r="N16" s="63">
        <f t="shared" si="2"/>
        <v>0</v>
      </c>
      <c r="O16" s="105">
        <f t="shared" si="3"/>
        <v>0</v>
      </c>
      <c r="P16" s="114" t="e">
        <f t="shared" si="4"/>
        <v>#DIV/0!</v>
      </c>
      <c r="Q16" s="106" t="e">
        <f t="shared" si="5"/>
        <v>#DIV/0!</v>
      </c>
      <c r="R16" s="25"/>
      <c r="S16" s="25"/>
      <c r="T16" s="25"/>
      <c r="U16" s="25"/>
      <c r="V16" s="25"/>
      <c r="W16" s="25"/>
      <c r="X16" s="25"/>
      <c r="Y16" s="25"/>
      <c r="Z16" s="25"/>
      <c r="AA16" s="25"/>
      <c r="AB16" s="25"/>
      <c r="AC16" s="25"/>
      <c r="AD16" s="25"/>
      <c r="AE16" s="25"/>
      <c r="AF16" s="63"/>
      <c r="AG16" s="114"/>
      <c r="AH16" s="25"/>
      <c r="AI16" s="25"/>
    </row>
    <row r="17" spans="2:35">
      <c r="B17" s="25"/>
      <c r="C17" s="61"/>
      <c r="D17" s="25"/>
      <c r="E17" s="25"/>
      <c r="F17" s="25"/>
      <c r="G17" s="25"/>
      <c r="H17" s="25"/>
      <c r="I17" s="62"/>
      <c r="J17" s="25"/>
      <c r="K17" s="62"/>
      <c r="L17" s="104" t="e">
        <f t="shared" si="0"/>
        <v>#DIV/0!</v>
      </c>
      <c r="M17" s="63">
        <f t="shared" si="1"/>
        <v>0</v>
      </c>
      <c r="N17" s="63">
        <f t="shared" si="2"/>
        <v>0</v>
      </c>
      <c r="O17" s="105">
        <f t="shared" si="3"/>
        <v>0</v>
      </c>
      <c r="P17" s="114" t="e">
        <f t="shared" si="4"/>
        <v>#DIV/0!</v>
      </c>
      <c r="Q17" s="106" t="e">
        <f t="shared" si="5"/>
        <v>#DIV/0!</v>
      </c>
      <c r="R17" s="25"/>
      <c r="S17" s="25"/>
      <c r="T17" s="25"/>
      <c r="U17" s="25"/>
      <c r="V17" s="25"/>
      <c r="W17" s="25"/>
      <c r="X17" s="25"/>
      <c r="Y17" s="25"/>
      <c r="Z17" s="25"/>
      <c r="AA17" s="25"/>
      <c r="AB17" s="25"/>
      <c r="AC17" s="25"/>
      <c r="AD17" s="25"/>
      <c r="AE17" s="25"/>
      <c r="AF17" s="63"/>
      <c r="AG17" s="114"/>
      <c r="AH17" s="25"/>
      <c r="AI17" s="25"/>
    </row>
    <row r="18" spans="2:35">
      <c r="B18" s="52"/>
      <c r="C18" s="61"/>
      <c r="D18" s="25"/>
      <c r="E18" s="25"/>
      <c r="F18" s="25"/>
      <c r="G18" s="25"/>
      <c r="H18" s="25"/>
      <c r="I18" s="62"/>
      <c r="J18" s="25"/>
      <c r="K18" s="62"/>
      <c r="L18" s="104" t="e">
        <f t="shared" si="0"/>
        <v>#DIV/0!</v>
      </c>
      <c r="M18" s="63">
        <f t="shared" si="1"/>
        <v>0</v>
      </c>
      <c r="N18" s="63">
        <f t="shared" si="2"/>
        <v>0</v>
      </c>
      <c r="O18" s="105">
        <f t="shared" si="3"/>
        <v>0</v>
      </c>
      <c r="P18" s="114" t="e">
        <f t="shared" si="4"/>
        <v>#DIV/0!</v>
      </c>
      <c r="Q18" s="106" t="e">
        <f t="shared" si="5"/>
        <v>#DIV/0!</v>
      </c>
      <c r="R18" s="25"/>
      <c r="S18" s="25"/>
      <c r="T18" s="25"/>
      <c r="U18" s="25"/>
      <c r="V18" s="25"/>
      <c r="W18" s="25"/>
      <c r="X18" s="25"/>
      <c r="Y18" s="25"/>
      <c r="Z18" s="25"/>
      <c r="AA18" s="25"/>
      <c r="AB18" s="25"/>
      <c r="AC18" s="25"/>
      <c r="AD18" s="25"/>
      <c r="AE18" s="25"/>
      <c r="AF18" s="63"/>
      <c r="AG18" s="114"/>
      <c r="AH18" s="25"/>
      <c r="AI18" s="25"/>
    </row>
    <row r="19" spans="2:35">
      <c r="B19" s="25"/>
      <c r="C19" s="61"/>
      <c r="D19" s="52"/>
      <c r="E19" s="25"/>
      <c r="F19" s="25"/>
      <c r="G19" s="25"/>
      <c r="H19" s="25"/>
      <c r="I19" s="62"/>
      <c r="J19" s="25"/>
      <c r="K19" s="62"/>
      <c r="L19" s="104" t="e">
        <f t="shared" si="0"/>
        <v>#DIV/0!</v>
      </c>
      <c r="M19" s="63">
        <f t="shared" si="1"/>
        <v>0</v>
      </c>
      <c r="N19" s="63">
        <f t="shared" si="2"/>
        <v>0</v>
      </c>
      <c r="O19" s="105">
        <f t="shared" si="3"/>
        <v>0</v>
      </c>
      <c r="P19" s="114" t="e">
        <f t="shared" si="4"/>
        <v>#DIV/0!</v>
      </c>
      <c r="Q19" s="106" t="e">
        <f t="shared" si="5"/>
        <v>#DIV/0!</v>
      </c>
      <c r="R19" s="25"/>
      <c r="S19" s="25"/>
      <c r="T19" s="25"/>
      <c r="U19" s="25"/>
      <c r="V19" s="25"/>
      <c r="W19" s="25"/>
      <c r="X19" s="25"/>
      <c r="Y19" s="25"/>
      <c r="Z19" s="25"/>
      <c r="AA19" s="25"/>
      <c r="AB19" s="25"/>
      <c r="AC19" s="25"/>
      <c r="AD19" s="25"/>
      <c r="AE19" s="25"/>
      <c r="AF19" s="63"/>
      <c r="AG19" s="114"/>
      <c r="AH19" s="25"/>
      <c r="AI19" s="25"/>
    </row>
    <row r="20" spans="2:35">
      <c r="B20" s="25"/>
      <c r="C20" s="61"/>
      <c r="D20" s="25"/>
      <c r="E20" s="25"/>
      <c r="F20" s="25"/>
      <c r="G20" s="25"/>
      <c r="H20" s="25"/>
      <c r="I20" s="62"/>
      <c r="J20" s="25"/>
      <c r="K20" s="62"/>
      <c r="L20" s="104" t="e">
        <f t="shared" si="0"/>
        <v>#DIV/0!</v>
      </c>
      <c r="M20" s="63">
        <f t="shared" si="1"/>
        <v>0</v>
      </c>
      <c r="N20" s="63">
        <f t="shared" si="2"/>
        <v>0</v>
      </c>
      <c r="O20" s="105">
        <f t="shared" si="3"/>
        <v>0</v>
      </c>
      <c r="P20" s="114" t="e">
        <f t="shared" si="4"/>
        <v>#DIV/0!</v>
      </c>
      <c r="Q20" s="106" t="e">
        <f t="shared" si="5"/>
        <v>#DIV/0!</v>
      </c>
      <c r="R20" s="25"/>
      <c r="S20" s="25"/>
      <c r="T20" s="25"/>
      <c r="U20" s="25"/>
      <c r="V20" s="25"/>
      <c r="W20" s="25"/>
      <c r="X20" s="25"/>
      <c r="Y20" s="25"/>
      <c r="Z20" s="25"/>
      <c r="AA20" s="25"/>
      <c r="AB20" s="25"/>
      <c r="AC20" s="25"/>
      <c r="AD20" s="25"/>
      <c r="AE20" s="25"/>
      <c r="AF20" s="63"/>
      <c r="AG20" s="114"/>
      <c r="AH20" s="25"/>
      <c r="AI20" s="25"/>
    </row>
    <row r="21" spans="2:35">
      <c r="B21" s="25"/>
      <c r="C21" s="61"/>
      <c r="D21" s="25"/>
      <c r="E21" s="25"/>
      <c r="F21" s="25"/>
      <c r="G21" s="25"/>
      <c r="H21" s="25"/>
      <c r="I21" s="62"/>
      <c r="J21" s="25"/>
      <c r="K21" s="62"/>
      <c r="L21" s="104" t="e">
        <f t="shared" si="0"/>
        <v>#DIV/0!</v>
      </c>
      <c r="M21" s="63">
        <f t="shared" si="1"/>
        <v>0</v>
      </c>
      <c r="N21" s="63">
        <f t="shared" si="2"/>
        <v>0</v>
      </c>
      <c r="O21" s="105">
        <f t="shared" si="3"/>
        <v>0</v>
      </c>
      <c r="P21" s="114" t="e">
        <f t="shared" si="4"/>
        <v>#DIV/0!</v>
      </c>
      <c r="Q21" s="106" t="e">
        <f t="shared" si="5"/>
        <v>#DIV/0!</v>
      </c>
      <c r="R21" s="25"/>
      <c r="S21" s="25"/>
      <c r="T21" s="25"/>
      <c r="U21" s="25"/>
      <c r="V21" s="25"/>
      <c r="W21" s="25"/>
      <c r="X21" s="25"/>
      <c r="Y21" s="25"/>
      <c r="Z21" s="25"/>
      <c r="AA21" s="25"/>
      <c r="AB21" s="25"/>
      <c r="AC21" s="25"/>
      <c r="AD21" s="25"/>
      <c r="AE21" s="25"/>
      <c r="AF21" s="25"/>
      <c r="AG21" s="25"/>
      <c r="AH21" s="25"/>
      <c r="AI21" s="25"/>
    </row>
    <row r="22" spans="2:35">
      <c r="B22" s="25"/>
      <c r="C22" s="61"/>
      <c r="D22" s="25"/>
      <c r="E22" s="25"/>
      <c r="F22" s="25"/>
      <c r="G22" s="25"/>
      <c r="H22" s="25"/>
      <c r="I22" s="62"/>
      <c r="J22" s="25"/>
      <c r="K22" s="62"/>
      <c r="L22" s="104" t="e">
        <f t="shared" si="0"/>
        <v>#DIV/0!</v>
      </c>
      <c r="M22" s="63">
        <f t="shared" si="1"/>
        <v>0</v>
      </c>
      <c r="N22" s="63">
        <f t="shared" si="2"/>
        <v>0</v>
      </c>
      <c r="O22" s="105">
        <f t="shared" si="3"/>
        <v>0</v>
      </c>
      <c r="P22" s="114" t="e">
        <f t="shared" si="4"/>
        <v>#DIV/0!</v>
      </c>
      <c r="Q22" s="106" t="e">
        <f t="shared" si="5"/>
        <v>#DIV/0!</v>
      </c>
      <c r="R22" s="25"/>
      <c r="S22" s="25"/>
      <c r="T22" s="25"/>
      <c r="U22" s="25"/>
      <c r="V22" s="25"/>
      <c r="W22" s="25"/>
      <c r="X22" s="25"/>
      <c r="Y22" s="25"/>
      <c r="Z22" s="25"/>
      <c r="AA22" s="25"/>
      <c r="AB22" s="25"/>
      <c r="AC22" s="25"/>
      <c r="AD22" s="25"/>
      <c r="AE22" s="25"/>
      <c r="AF22" s="25"/>
      <c r="AG22" s="25"/>
      <c r="AH22" s="25"/>
      <c r="AI22" s="25"/>
    </row>
    <row r="23" spans="2:35">
      <c r="B23" s="25"/>
      <c r="C23" s="61"/>
      <c r="D23" s="25"/>
      <c r="E23" s="25"/>
      <c r="F23" s="25"/>
      <c r="G23" s="25"/>
      <c r="H23" s="25"/>
      <c r="I23" s="62"/>
      <c r="J23" s="25"/>
      <c r="K23" s="62"/>
      <c r="L23" s="104" t="e">
        <f t="shared" si="0"/>
        <v>#DIV/0!</v>
      </c>
      <c r="M23" s="63">
        <f t="shared" si="1"/>
        <v>0</v>
      </c>
      <c r="N23" s="63">
        <f t="shared" si="2"/>
        <v>0</v>
      </c>
      <c r="O23" s="105">
        <f t="shared" si="3"/>
        <v>0</v>
      </c>
      <c r="P23" s="114" t="e">
        <f t="shared" si="4"/>
        <v>#DIV/0!</v>
      </c>
      <c r="Q23" s="106" t="e">
        <f t="shared" si="5"/>
        <v>#DIV/0!</v>
      </c>
      <c r="R23" s="25"/>
      <c r="S23" s="25"/>
      <c r="T23" s="25"/>
      <c r="U23" s="25"/>
      <c r="V23" s="25"/>
      <c r="W23" s="25"/>
      <c r="X23" s="25"/>
      <c r="Y23" s="25"/>
      <c r="Z23" s="25"/>
      <c r="AA23" s="25"/>
      <c r="AB23" s="25"/>
      <c r="AC23" s="25"/>
      <c r="AD23" s="25"/>
      <c r="AE23" s="25"/>
      <c r="AF23" s="25"/>
      <c r="AG23" s="25"/>
      <c r="AH23" s="25"/>
      <c r="AI23" s="25"/>
    </row>
    <row r="24" spans="2:35">
      <c r="B24" s="25"/>
      <c r="C24" s="61"/>
      <c r="D24" s="25"/>
      <c r="E24" s="25"/>
      <c r="F24" s="25"/>
      <c r="G24" s="25"/>
      <c r="H24" s="25"/>
      <c r="I24" s="62"/>
      <c r="J24" s="25"/>
      <c r="K24" s="62"/>
      <c r="L24" s="104" t="e">
        <f t="shared" si="0"/>
        <v>#DIV/0!</v>
      </c>
      <c r="M24" s="63">
        <f t="shared" si="1"/>
        <v>0</v>
      </c>
      <c r="N24" s="63">
        <f t="shared" si="2"/>
        <v>0</v>
      </c>
      <c r="O24" s="105">
        <f t="shared" si="3"/>
        <v>0</v>
      </c>
      <c r="P24" s="114" t="e">
        <f t="shared" si="4"/>
        <v>#DIV/0!</v>
      </c>
      <c r="Q24" s="106" t="e">
        <f t="shared" si="5"/>
        <v>#DIV/0!</v>
      </c>
      <c r="R24" s="25"/>
      <c r="S24" s="25"/>
      <c r="T24" s="25"/>
      <c r="U24" s="25"/>
      <c r="V24" s="25"/>
      <c r="W24" s="25"/>
      <c r="X24" s="25"/>
      <c r="Y24" s="25"/>
      <c r="Z24" s="25"/>
      <c r="AA24" s="25"/>
      <c r="AB24" s="25"/>
      <c r="AC24" s="25"/>
      <c r="AD24" s="25"/>
      <c r="AE24" s="25"/>
      <c r="AF24" s="25"/>
      <c r="AG24" s="25"/>
      <c r="AH24" s="25"/>
      <c r="AI24" s="25"/>
    </row>
    <row r="25" spans="2:35">
      <c r="B25" s="25"/>
      <c r="C25" s="61"/>
      <c r="D25" s="25"/>
      <c r="E25" s="25"/>
      <c r="F25" s="25"/>
      <c r="G25" s="25"/>
      <c r="H25" s="25"/>
      <c r="I25" s="62"/>
      <c r="J25" s="25"/>
      <c r="K25" s="62"/>
      <c r="L25" s="104" t="e">
        <f t="shared" si="0"/>
        <v>#DIV/0!</v>
      </c>
      <c r="M25" s="63">
        <f t="shared" si="1"/>
        <v>0</v>
      </c>
      <c r="N25" s="63">
        <f t="shared" si="2"/>
        <v>0</v>
      </c>
      <c r="O25" s="105">
        <f t="shared" si="3"/>
        <v>0</v>
      </c>
      <c r="P25" s="114" t="e">
        <f t="shared" si="4"/>
        <v>#DIV/0!</v>
      </c>
      <c r="Q25" s="106" t="e">
        <f t="shared" si="5"/>
        <v>#DIV/0!</v>
      </c>
      <c r="R25" s="25"/>
      <c r="S25" s="25"/>
      <c r="T25" s="25"/>
      <c r="U25" s="25"/>
      <c r="V25" s="25"/>
      <c r="W25" s="25"/>
      <c r="X25" s="25"/>
      <c r="Y25" s="25"/>
      <c r="Z25" s="25"/>
      <c r="AA25" s="25"/>
      <c r="AB25" s="25"/>
      <c r="AC25" s="25"/>
      <c r="AD25" s="25"/>
      <c r="AE25" s="25"/>
      <c r="AF25" s="25"/>
      <c r="AG25" s="25"/>
      <c r="AH25" s="25"/>
      <c r="AI25" s="25"/>
    </row>
    <row r="26" spans="2:35">
      <c r="B26" s="25"/>
      <c r="C26" s="61"/>
      <c r="D26" s="25"/>
      <c r="E26" s="25"/>
      <c r="F26" s="25"/>
      <c r="G26" s="25"/>
      <c r="H26" s="25"/>
      <c r="I26" s="62"/>
      <c r="J26" s="25"/>
      <c r="K26" s="62"/>
      <c r="L26" s="104" t="e">
        <f t="shared" si="0"/>
        <v>#DIV/0!</v>
      </c>
      <c r="M26" s="63">
        <f t="shared" si="1"/>
        <v>0</v>
      </c>
      <c r="N26" s="63">
        <f t="shared" si="2"/>
        <v>0</v>
      </c>
      <c r="O26" s="105">
        <f t="shared" si="3"/>
        <v>0</v>
      </c>
      <c r="P26" s="114" t="e">
        <f t="shared" si="4"/>
        <v>#DIV/0!</v>
      </c>
      <c r="Q26" s="106" t="e">
        <f t="shared" si="5"/>
        <v>#DIV/0!</v>
      </c>
      <c r="R26" s="25"/>
      <c r="S26" s="25"/>
      <c r="T26" s="25"/>
      <c r="U26" s="25"/>
      <c r="V26" s="25"/>
      <c r="W26" s="25"/>
      <c r="X26" s="25"/>
      <c r="Y26" s="25"/>
      <c r="Z26" s="25"/>
      <c r="AA26" s="25"/>
      <c r="AB26" s="25"/>
      <c r="AC26" s="25"/>
      <c r="AD26" s="25"/>
      <c r="AE26" s="25"/>
      <c r="AF26" s="25"/>
      <c r="AG26" s="25"/>
      <c r="AH26" s="25"/>
      <c r="AI26" s="25"/>
    </row>
    <row r="27" spans="2:35">
      <c r="B27" s="25"/>
      <c r="C27" s="61"/>
      <c r="D27" s="25"/>
      <c r="E27" s="25"/>
      <c r="F27" s="25"/>
      <c r="G27" s="25"/>
      <c r="H27" s="25"/>
      <c r="I27" s="62"/>
      <c r="J27" s="25"/>
      <c r="K27" s="62"/>
      <c r="L27" s="104" t="e">
        <f t="shared" si="0"/>
        <v>#DIV/0!</v>
      </c>
      <c r="M27" s="63">
        <f t="shared" si="1"/>
        <v>0</v>
      </c>
      <c r="N27" s="63">
        <f t="shared" si="2"/>
        <v>0</v>
      </c>
      <c r="O27" s="105">
        <f t="shared" si="3"/>
        <v>0</v>
      </c>
      <c r="P27" s="114" t="e">
        <f t="shared" si="4"/>
        <v>#DIV/0!</v>
      </c>
      <c r="Q27" s="106" t="e">
        <f t="shared" si="5"/>
        <v>#DIV/0!</v>
      </c>
      <c r="R27" s="25"/>
      <c r="S27" s="25"/>
      <c r="T27" s="25"/>
      <c r="U27" s="25"/>
      <c r="V27" s="25"/>
      <c r="W27" s="25"/>
      <c r="X27" s="25"/>
      <c r="Y27" s="25"/>
      <c r="Z27" s="25"/>
      <c r="AA27" s="25"/>
      <c r="AB27" s="25"/>
      <c r="AC27" s="25"/>
      <c r="AD27" s="25"/>
      <c r="AE27" s="25"/>
      <c r="AF27" s="25"/>
      <c r="AG27" s="25"/>
      <c r="AH27" s="25"/>
      <c r="AI27" s="25"/>
    </row>
    <row r="28" spans="2:35">
      <c r="B28" s="25"/>
      <c r="C28" s="61"/>
      <c r="D28" s="25"/>
      <c r="E28" s="25"/>
      <c r="F28" s="25"/>
      <c r="G28" s="25"/>
      <c r="H28" s="25"/>
      <c r="I28" s="62"/>
      <c r="J28" s="25"/>
      <c r="K28" s="62"/>
      <c r="L28" s="104" t="e">
        <f t="shared" si="0"/>
        <v>#DIV/0!</v>
      </c>
      <c r="M28" s="63">
        <f t="shared" si="1"/>
        <v>0</v>
      </c>
      <c r="N28" s="63">
        <f t="shared" si="2"/>
        <v>0</v>
      </c>
      <c r="O28" s="105">
        <f t="shared" si="3"/>
        <v>0</v>
      </c>
      <c r="P28" s="114" t="e">
        <f t="shared" si="4"/>
        <v>#DIV/0!</v>
      </c>
      <c r="Q28" s="106" t="e">
        <f t="shared" si="5"/>
        <v>#DIV/0!</v>
      </c>
      <c r="R28" s="25"/>
      <c r="S28" s="25"/>
      <c r="T28" s="25"/>
      <c r="U28" s="25"/>
      <c r="V28" s="25"/>
      <c r="W28" s="25"/>
      <c r="X28" s="25"/>
      <c r="Y28" s="25"/>
      <c r="Z28" s="25"/>
      <c r="AA28" s="25"/>
      <c r="AB28" s="25"/>
      <c r="AC28" s="25"/>
      <c r="AD28" s="25"/>
      <c r="AE28" s="25"/>
      <c r="AF28" s="25"/>
      <c r="AG28" s="25"/>
      <c r="AH28" s="25"/>
      <c r="AI28" s="25"/>
    </row>
    <row r="29" spans="2:35">
      <c r="B29" s="25"/>
      <c r="C29" s="61"/>
      <c r="D29" s="25"/>
      <c r="E29" s="25"/>
      <c r="F29" s="25"/>
      <c r="G29" s="25"/>
      <c r="H29" s="25"/>
      <c r="I29" s="62"/>
      <c r="J29" s="25"/>
      <c r="K29" s="62"/>
      <c r="L29" s="104" t="e">
        <f t="shared" si="0"/>
        <v>#DIV/0!</v>
      </c>
      <c r="M29" s="63">
        <f t="shared" si="1"/>
        <v>0</v>
      </c>
      <c r="N29" s="63">
        <f t="shared" si="2"/>
        <v>0</v>
      </c>
      <c r="O29" s="105">
        <f t="shared" si="3"/>
        <v>0</v>
      </c>
      <c r="P29" s="114" t="e">
        <f t="shared" si="4"/>
        <v>#DIV/0!</v>
      </c>
      <c r="Q29" s="106" t="e">
        <f t="shared" si="5"/>
        <v>#DIV/0!</v>
      </c>
      <c r="R29" s="25"/>
      <c r="S29" s="25"/>
      <c r="T29" s="25"/>
      <c r="U29" s="25"/>
      <c r="V29" s="25"/>
      <c r="W29" s="25"/>
      <c r="X29" s="25"/>
      <c r="Y29" s="25"/>
      <c r="Z29" s="25"/>
      <c r="AA29" s="25"/>
      <c r="AB29" s="25"/>
      <c r="AC29" s="25"/>
      <c r="AD29" s="25"/>
      <c r="AE29" s="25"/>
      <c r="AF29" s="25"/>
      <c r="AG29" s="25"/>
      <c r="AH29" s="25"/>
      <c r="AI29" s="25"/>
    </row>
    <row r="30" spans="2:35">
      <c r="B30" s="25"/>
      <c r="C30" s="61"/>
      <c r="D30" s="25"/>
      <c r="E30" s="25"/>
      <c r="F30" s="25"/>
      <c r="G30" s="25"/>
      <c r="H30" s="25"/>
      <c r="I30" s="62"/>
      <c r="J30" s="25"/>
      <c r="K30" s="62"/>
      <c r="L30" s="104" t="e">
        <f t="shared" si="0"/>
        <v>#DIV/0!</v>
      </c>
      <c r="M30" s="63">
        <f t="shared" si="1"/>
        <v>0</v>
      </c>
      <c r="N30" s="63">
        <f t="shared" si="2"/>
        <v>0</v>
      </c>
      <c r="O30" s="105">
        <f t="shared" si="3"/>
        <v>0</v>
      </c>
      <c r="P30" s="114" t="e">
        <f t="shared" si="4"/>
        <v>#DIV/0!</v>
      </c>
      <c r="Q30" s="106" t="e">
        <f t="shared" si="5"/>
        <v>#DIV/0!</v>
      </c>
      <c r="R30" s="25"/>
      <c r="S30" s="25"/>
      <c r="T30" s="25"/>
      <c r="U30" s="25"/>
      <c r="V30" s="25"/>
      <c r="W30" s="25"/>
      <c r="X30" s="25"/>
      <c r="Y30" s="25"/>
      <c r="Z30" s="25"/>
      <c r="AA30" s="25"/>
      <c r="AB30" s="25"/>
      <c r="AC30" s="25"/>
      <c r="AD30" s="25"/>
      <c r="AE30" s="25"/>
      <c r="AF30" s="25"/>
      <c r="AG30" s="25"/>
      <c r="AH30" s="25"/>
      <c r="AI30" s="25"/>
    </row>
    <row r="31" spans="2:35">
      <c r="B31" s="25"/>
      <c r="C31" s="61"/>
      <c r="D31" s="25"/>
      <c r="E31" s="25"/>
      <c r="F31" s="25"/>
      <c r="G31" s="25"/>
      <c r="H31" s="25"/>
      <c r="I31" s="62"/>
      <c r="J31" s="25"/>
      <c r="K31" s="62"/>
      <c r="L31" s="104" t="e">
        <f t="shared" si="0"/>
        <v>#DIV/0!</v>
      </c>
      <c r="M31" s="63">
        <f t="shared" si="1"/>
        <v>0</v>
      </c>
      <c r="N31" s="63">
        <f t="shared" si="2"/>
        <v>0</v>
      </c>
      <c r="O31" s="105">
        <f t="shared" si="3"/>
        <v>0</v>
      </c>
      <c r="P31" s="114" t="e">
        <f t="shared" si="4"/>
        <v>#DIV/0!</v>
      </c>
      <c r="Q31" s="106" t="e">
        <f t="shared" si="5"/>
        <v>#DIV/0!</v>
      </c>
      <c r="R31" s="25"/>
      <c r="S31" s="25"/>
      <c r="T31" s="25"/>
      <c r="U31" s="25"/>
      <c r="V31" s="25"/>
      <c r="W31" s="25"/>
      <c r="X31" s="25"/>
      <c r="Y31" s="25"/>
      <c r="Z31" s="25"/>
      <c r="AA31" s="25"/>
      <c r="AB31" s="25"/>
      <c r="AC31" s="25"/>
      <c r="AD31" s="25"/>
      <c r="AE31" s="25"/>
      <c r="AF31" s="25"/>
      <c r="AG31" s="25"/>
      <c r="AH31" s="25"/>
      <c r="AI31" s="25"/>
    </row>
    <row r="32" spans="2:35">
      <c r="B32" s="25"/>
      <c r="C32" s="61"/>
      <c r="D32" s="25"/>
      <c r="E32" s="25"/>
      <c r="F32" s="25"/>
      <c r="G32" s="25"/>
      <c r="H32" s="25"/>
      <c r="I32" s="62"/>
      <c r="J32" s="25"/>
      <c r="K32" s="62"/>
      <c r="L32" s="104" t="e">
        <f t="shared" si="0"/>
        <v>#DIV/0!</v>
      </c>
      <c r="M32" s="63">
        <f t="shared" si="1"/>
        <v>0</v>
      </c>
      <c r="N32" s="63">
        <f t="shared" si="2"/>
        <v>0</v>
      </c>
      <c r="O32" s="105">
        <f t="shared" si="3"/>
        <v>0</v>
      </c>
      <c r="P32" s="114" t="e">
        <f t="shared" si="4"/>
        <v>#DIV/0!</v>
      </c>
      <c r="Q32" s="106" t="e">
        <f t="shared" si="5"/>
        <v>#DIV/0!</v>
      </c>
      <c r="R32" s="25"/>
      <c r="S32" s="25"/>
      <c r="T32" s="25"/>
      <c r="U32" s="25"/>
      <c r="V32" s="25"/>
      <c r="W32" s="25"/>
      <c r="X32" s="25"/>
      <c r="Y32" s="25"/>
      <c r="Z32" s="25"/>
      <c r="AA32" s="25"/>
      <c r="AB32" s="25"/>
      <c r="AC32" s="25"/>
      <c r="AD32" s="25"/>
      <c r="AE32" s="25"/>
      <c r="AF32" s="25"/>
      <c r="AG32" s="25"/>
      <c r="AH32" s="25"/>
      <c r="AI32" s="25"/>
    </row>
    <row r="33" spans="2:35">
      <c r="B33" s="25"/>
      <c r="C33" s="61"/>
      <c r="D33" s="25"/>
      <c r="E33" s="25"/>
      <c r="F33" s="25"/>
      <c r="G33" s="25"/>
      <c r="H33" s="25"/>
      <c r="I33" s="62"/>
      <c r="J33" s="25"/>
      <c r="K33" s="62"/>
      <c r="L33" s="104" t="e">
        <f t="shared" si="0"/>
        <v>#DIV/0!</v>
      </c>
      <c r="M33" s="63">
        <f t="shared" si="1"/>
        <v>0</v>
      </c>
      <c r="N33" s="63">
        <f t="shared" si="2"/>
        <v>0</v>
      </c>
      <c r="O33" s="105">
        <f t="shared" si="3"/>
        <v>0</v>
      </c>
      <c r="P33" s="114" t="e">
        <f t="shared" si="4"/>
        <v>#DIV/0!</v>
      </c>
      <c r="Q33" s="106" t="e">
        <f t="shared" si="5"/>
        <v>#DIV/0!</v>
      </c>
      <c r="R33" s="25"/>
      <c r="S33" s="25"/>
      <c r="T33" s="25"/>
      <c r="U33" s="25"/>
      <c r="V33" s="25"/>
      <c r="W33" s="25"/>
      <c r="X33" s="25"/>
      <c r="Y33" s="25"/>
      <c r="Z33" s="25"/>
      <c r="AA33" s="25"/>
      <c r="AB33" s="25"/>
      <c r="AC33" s="25"/>
      <c r="AD33" s="25"/>
      <c r="AE33" s="25"/>
      <c r="AF33" s="25"/>
      <c r="AG33" s="25"/>
      <c r="AH33" s="25"/>
      <c r="AI33" s="25"/>
    </row>
    <row r="34" spans="2:35">
      <c r="B34" s="25"/>
      <c r="C34" s="61"/>
      <c r="D34" s="25"/>
      <c r="E34" s="25"/>
      <c r="F34" s="25"/>
      <c r="G34" s="25"/>
      <c r="H34" s="25"/>
      <c r="I34" s="62"/>
      <c r="J34" s="25"/>
      <c r="K34" s="62"/>
      <c r="L34" s="104" t="e">
        <f t="shared" si="0"/>
        <v>#DIV/0!</v>
      </c>
      <c r="M34" s="63">
        <f t="shared" si="1"/>
        <v>0</v>
      </c>
      <c r="N34" s="63">
        <f t="shared" si="2"/>
        <v>0</v>
      </c>
      <c r="O34" s="105">
        <f t="shared" si="3"/>
        <v>0</v>
      </c>
      <c r="P34" s="114" t="e">
        <f t="shared" si="4"/>
        <v>#DIV/0!</v>
      </c>
      <c r="Q34" s="106" t="e">
        <f t="shared" si="5"/>
        <v>#DIV/0!</v>
      </c>
      <c r="R34" s="25"/>
      <c r="S34" s="25"/>
      <c r="T34" s="25"/>
      <c r="U34" s="25"/>
      <c r="V34" s="25"/>
      <c r="W34" s="25"/>
      <c r="X34" s="25"/>
      <c r="Y34" s="25"/>
      <c r="Z34" s="25"/>
      <c r="AA34" s="25"/>
      <c r="AB34" s="25"/>
      <c r="AC34" s="25"/>
      <c r="AD34" s="25"/>
      <c r="AE34" s="25"/>
      <c r="AF34" s="25"/>
      <c r="AG34" s="25"/>
      <c r="AH34" s="25"/>
      <c r="AI34" s="25"/>
    </row>
    <row r="35" spans="2:35">
      <c r="B35" s="25"/>
      <c r="C35" s="61"/>
      <c r="D35" s="25"/>
      <c r="E35" s="25"/>
      <c r="F35" s="25"/>
      <c r="G35" s="25"/>
      <c r="H35" s="25"/>
      <c r="I35" s="62"/>
      <c r="J35" s="25"/>
      <c r="K35" s="62"/>
      <c r="L35" s="104" t="e">
        <f t="shared" si="0"/>
        <v>#DIV/0!</v>
      </c>
      <c r="M35" s="63">
        <f t="shared" si="1"/>
        <v>0</v>
      </c>
      <c r="N35" s="63">
        <f t="shared" si="2"/>
        <v>0</v>
      </c>
      <c r="O35" s="105">
        <f t="shared" si="3"/>
        <v>0</v>
      </c>
      <c r="P35" s="114" t="e">
        <f t="shared" si="4"/>
        <v>#DIV/0!</v>
      </c>
      <c r="Q35" s="106" t="e">
        <f t="shared" si="5"/>
        <v>#DIV/0!</v>
      </c>
      <c r="R35" s="25"/>
      <c r="S35" s="25"/>
      <c r="T35" s="25"/>
      <c r="U35" s="25"/>
      <c r="V35" s="25"/>
      <c r="W35" s="25"/>
      <c r="X35" s="25"/>
      <c r="Y35" s="25"/>
      <c r="Z35" s="25"/>
      <c r="AA35" s="25"/>
      <c r="AB35" s="25"/>
      <c r="AC35" s="25"/>
      <c r="AD35" s="25"/>
      <c r="AE35" s="25"/>
      <c r="AF35" s="25"/>
      <c r="AG35" s="25"/>
      <c r="AH35" s="25"/>
      <c r="AI35" s="25"/>
    </row>
    <row r="36" spans="2:35">
      <c r="B36" s="25"/>
      <c r="C36" s="61"/>
      <c r="D36" s="25"/>
      <c r="E36" s="25"/>
      <c r="F36" s="25"/>
      <c r="G36" s="25"/>
      <c r="H36" s="25"/>
      <c r="I36" s="62"/>
      <c r="J36" s="25"/>
      <c r="K36" s="62"/>
      <c r="L36" s="104" t="e">
        <f t="shared" si="0"/>
        <v>#DIV/0!</v>
      </c>
      <c r="M36" s="63">
        <f t="shared" si="1"/>
        <v>0</v>
      </c>
      <c r="N36" s="63">
        <f t="shared" si="2"/>
        <v>0</v>
      </c>
      <c r="O36" s="105">
        <f t="shared" si="3"/>
        <v>0</v>
      </c>
      <c r="P36" s="114" t="e">
        <f t="shared" si="4"/>
        <v>#DIV/0!</v>
      </c>
      <c r="Q36" s="106" t="e">
        <f t="shared" si="5"/>
        <v>#DIV/0!</v>
      </c>
      <c r="R36" s="25"/>
      <c r="S36" s="25"/>
      <c r="T36" s="25"/>
      <c r="U36" s="25"/>
      <c r="V36" s="25"/>
      <c r="W36" s="25"/>
      <c r="X36" s="25"/>
      <c r="Y36" s="25"/>
      <c r="Z36" s="25"/>
      <c r="AA36" s="25"/>
      <c r="AB36" s="25"/>
      <c r="AC36" s="25"/>
      <c r="AD36" s="25"/>
      <c r="AE36" s="25"/>
      <c r="AF36" s="25"/>
      <c r="AG36" s="25"/>
      <c r="AH36" s="25"/>
      <c r="AI36" s="25"/>
    </row>
    <row r="37" spans="2:35">
      <c r="B37" s="25"/>
      <c r="C37" s="61"/>
      <c r="D37" s="25"/>
      <c r="E37" s="25"/>
      <c r="F37" s="25"/>
      <c r="G37" s="25"/>
      <c r="H37" s="25"/>
      <c r="I37" s="62"/>
      <c r="J37" s="25"/>
      <c r="K37" s="62"/>
      <c r="L37" s="104" t="e">
        <f t="shared" si="0"/>
        <v>#DIV/0!</v>
      </c>
      <c r="M37" s="63">
        <f t="shared" si="1"/>
        <v>0</v>
      </c>
      <c r="N37" s="63">
        <f t="shared" si="2"/>
        <v>0</v>
      </c>
      <c r="O37" s="105">
        <f t="shared" si="3"/>
        <v>0</v>
      </c>
      <c r="P37" s="114" t="e">
        <f t="shared" si="4"/>
        <v>#DIV/0!</v>
      </c>
      <c r="Q37" s="106" t="e">
        <f t="shared" si="5"/>
        <v>#DIV/0!</v>
      </c>
      <c r="R37" s="25"/>
      <c r="S37" s="25"/>
      <c r="T37" s="25"/>
      <c r="U37" s="25"/>
      <c r="V37" s="25"/>
      <c r="W37" s="25"/>
      <c r="X37" s="25"/>
      <c r="Y37" s="25"/>
      <c r="Z37" s="25"/>
      <c r="AA37" s="25"/>
      <c r="AB37" s="25"/>
      <c r="AC37" s="25"/>
      <c r="AD37" s="25"/>
      <c r="AE37" s="25"/>
      <c r="AF37" s="25"/>
      <c r="AG37" s="25"/>
      <c r="AH37" s="25"/>
      <c r="AI37" s="25"/>
    </row>
    <row r="38" spans="2:35">
      <c r="B38" s="25"/>
      <c r="C38" s="61"/>
      <c r="D38" s="25"/>
      <c r="E38" s="25"/>
      <c r="F38" s="25"/>
      <c r="G38" s="25"/>
      <c r="H38" s="25"/>
      <c r="I38" s="62"/>
      <c r="J38" s="25"/>
      <c r="K38" s="62"/>
      <c r="L38" s="104" t="e">
        <f t="shared" si="0"/>
        <v>#DIV/0!</v>
      </c>
      <c r="M38" s="63">
        <f t="shared" si="1"/>
        <v>0</v>
      </c>
      <c r="N38" s="63">
        <f t="shared" si="2"/>
        <v>0</v>
      </c>
      <c r="O38" s="105">
        <f t="shared" si="3"/>
        <v>0</v>
      </c>
      <c r="P38" s="114" t="e">
        <f t="shared" si="4"/>
        <v>#DIV/0!</v>
      </c>
      <c r="Q38" s="106" t="e">
        <f t="shared" si="5"/>
        <v>#DIV/0!</v>
      </c>
      <c r="R38" s="25"/>
      <c r="S38" s="25"/>
      <c r="T38" s="25"/>
      <c r="U38" s="25"/>
      <c r="V38" s="25"/>
      <c r="W38" s="25"/>
      <c r="X38" s="25"/>
      <c r="Y38" s="25"/>
      <c r="Z38" s="25"/>
      <c r="AA38" s="25"/>
      <c r="AB38" s="25"/>
      <c r="AC38" s="25"/>
      <c r="AD38" s="25"/>
      <c r="AE38" s="25"/>
      <c r="AF38" s="25"/>
      <c r="AG38" s="25"/>
      <c r="AH38" s="25"/>
      <c r="AI38" s="25"/>
    </row>
    <row r="39" spans="2:35">
      <c r="B39" s="25"/>
      <c r="C39" s="61"/>
      <c r="D39" s="25"/>
      <c r="E39" s="25"/>
      <c r="F39" s="25"/>
      <c r="G39" s="25"/>
      <c r="H39" s="25"/>
      <c r="I39" s="62"/>
      <c r="J39" s="25"/>
      <c r="K39" s="62"/>
      <c r="L39" s="104" t="e">
        <f t="shared" si="0"/>
        <v>#DIV/0!</v>
      </c>
      <c r="M39" s="63">
        <f t="shared" si="1"/>
        <v>0</v>
      </c>
      <c r="N39" s="63">
        <f t="shared" si="2"/>
        <v>0</v>
      </c>
      <c r="O39" s="105">
        <f t="shared" si="3"/>
        <v>0</v>
      </c>
      <c r="P39" s="114" t="e">
        <f t="shared" si="4"/>
        <v>#DIV/0!</v>
      </c>
      <c r="Q39" s="106" t="e">
        <f t="shared" si="5"/>
        <v>#DIV/0!</v>
      </c>
      <c r="R39" s="25"/>
      <c r="S39" s="25"/>
      <c r="T39" s="25"/>
      <c r="U39" s="25"/>
      <c r="V39" s="25"/>
      <c r="W39" s="25"/>
      <c r="X39" s="25"/>
      <c r="Y39" s="25"/>
      <c r="Z39" s="25"/>
      <c r="AA39" s="25"/>
      <c r="AB39" s="25"/>
      <c r="AC39" s="25"/>
      <c r="AD39" s="25"/>
      <c r="AE39" s="25"/>
      <c r="AF39" s="25"/>
      <c r="AG39" s="25"/>
      <c r="AH39" s="25"/>
      <c r="AI39" s="25"/>
    </row>
    <row r="40" spans="2:35">
      <c r="B40" s="25"/>
      <c r="C40" s="61"/>
      <c r="D40" s="25"/>
      <c r="E40" s="25"/>
      <c r="F40" s="25"/>
      <c r="G40" s="25"/>
      <c r="H40" s="25"/>
      <c r="I40" s="62"/>
      <c r="J40" s="25"/>
      <c r="K40" s="62"/>
      <c r="L40" s="104" t="e">
        <f t="shared" si="0"/>
        <v>#DIV/0!</v>
      </c>
      <c r="M40" s="63">
        <f t="shared" si="1"/>
        <v>0</v>
      </c>
      <c r="N40" s="63">
        <f t="shared" si="2"/>
        <v>0</v>
      </c>
      <c r="O40" s="105">
        <f t="shared" si="3"/>
        <v>0</v>
      </c>
      <c r="P40" s="114" t="e">
        <f t="shared" si="4"/>
        <v>#DIV/0!</v>
      </c>
      <c r="Q40" s="106" t="e">
        <f t="shared" si="5"/>
        <v>#DIV/0!</v>
      </c>
      <c r="R40" s="25"/>
      <c r="S40" s="25"/>
      <c r="T40" s="25"/>
      <c r="U40" s="25"/>
      <c r="V40" s="25"/>
      <c r="W40" s="25"/>
      <c r="X40" s="25"/>
      <c r="Y40" s="25"/>
      <c r="Z40" s="25"/>
      <c r="AA40" s="25"/>
      <c r="AB40" s="25"/>
      <c r="AC40" s="25"/>
      <c r="AD40" s="25"/>
      <c r="AE40" s="25"/>
      <c r="AF40" s="25"/>
      <c r="AG40" s="25"/>
      <c r="AH40" s="25"/>
      <c r="AI40" s="25"/>
    </row>
    <row r="41" spans="2:35">
      <c r="B41" s="25"/>
      <c r="C41" s="25"/>
      <c r="D41" s="25"/>
      <c r="E41" s="25"/>
      <c r="F41" s="25"/>
      <c r="G41" s="25"/>
      <c r="H41" s="25"/>
      <c r="I41" s="25"/>
      <c r="J41" s="25"/>
      <c r="K41" s="25"/>
      <c r="L41" s="25"/>
      <c r="M41" s="25"/>
      <c r="N41" s="25"/>
      <c r="O41" s="63"/>
      <c r="P41" s="25"/>
      <c r="Q41" s="25"/>
      <c r="R41" s="25"/>
      <c r="S41" s="25"/>
      <c r="T41" s="25"/>
      <c r="U41" s="25"/>
      <c r="V41" s="25"/>
      <c r="W41" s="25"/>
      <c r="X41" s="25"/>
      <c r="Y41" s="25"/>
      <c r="Z41" s="25"/>
      <c r="AA41" s="25"/>
      <c r="AB41" s="25"/>
      <c r="AC41" s="25"/>
      <c r="AD41" s="25"/>
      <c r="AE41" s="25"/>
      <c r="AF41" s="25"/>
      <c r="AG41" s="25"/>
      <c r="AH41" s="25"/>
      <c r="AI41" s="25"/>
    </row>
    <row r="42" spans="2:35">
      <c r="C42" s="25"/>
      <c r="D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row>
    <row r="43" spans="2:3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row>
    <row r="44" spans="2:3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row>
    <row r="45" spans="2:3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row>
    <row r="46" spans="2:3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row>
    <row r="47" spans="2:3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row>
    <row r="48" spans="2:3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row>
    <row r="49" spans="2:3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row>
    <row r="50" spans="2:3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row>
    <row r="51" spans="2:3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row>
    <row r="52" spans="2:3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row>
    <row r="53" spans="2:3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row>
    <row r="54" spans="2:3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row>
    <row r="55" spans="2:3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row>
    <row r="56" spans="2:3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row>
    <row r="57" spans="2:3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row>
    <row r="58" spans="2:3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row>
    <row r="59" spans="2:3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row>
    <row r="60" spans="2:3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row>
    <row r="61" spans="2:3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row>
    <row r="62" spans="2:3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row>
    <row r="63" spans="2:3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row>
    <row r="64" spans="2:3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row>
    <row r="65" spans="2:3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row>
    <row r="66" spans="2:3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row>
    <row r="67" spans="2:3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row>
    <row r="68" spans="2:3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row>
    <row r="69" spans="2:3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row>
    <row r="70" spans="2:3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row>
    <row r="71" spans="2:3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row>
    <row r="72" spans="2:3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row>
    <row r="73" spans="2:3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row>
    <row r="74" spans="2:3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row>
    <row r="75" spans="2:3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row>
    <row r="76" spans="2:3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row>
    <row r="77" spans="2:3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row>
    <row r="78" spans="2:3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row>
    <row r="79" spans="2:3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row>
    <row r="80" spans="2:3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row>
    <row r="81" spans="2:3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row>
    <row r="82" spans="2:3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row>
    <row r="83" spans="2:3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row>
    <row r="84" spans="2:3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row>
    <row r="85" spans="2:3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row>
    <row r="86" spans="2:3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row>
    <row r="87" spans="2:3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row>
    <row r="88" spans="2:3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row>
    <row r="89" spans="2:3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row>
    <row r="90" spans="2:3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row>
    <row r="91" spans="2:3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row>
    <row r="92" spans="2:3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row>
    <row r="93" spans="2:3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row>
    <row r="94" spans="2:3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row>
    <row r="95" spans="2:3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row>
    <row r="96" spans="2:3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row>
    <row r="97" spans="2:3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row>
    <row r="98" spans="2:3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row>
    <row r="99" spans="2:3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row>
    <row r="100" spans="2:3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row>
    <row r="101" spans="2:3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row>
    <row r="102" spans="2:3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row>
    <row r="103" spans="2:3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row>
  </sheetData>
  <mergeCells count="1">
    <mergeCell ref="I4:M4"/>
  </mergeCells>
  <conditionalFormatting sqref="O13:O41">
    <cfRule type="colorScale" priority="1">
      <colorScale>
        <cfvo type="formula" val="6"/>
        <cfvo type="formula" val="15"/>
        <cfvo type="formula" val="25"/>
        <color rgb="FF93C47D"/>
        <color rgb="FFF6B26B"/>
        <color rgb="FFFF0000"/>
      </colorScale>
    </cfRule>
    <cfRule type="colorScale" priority="2">
      <colorScale>
        <cfvo type="formula" val="5"/>
        <cfvo type="formula" val="10"/>
        <cfvo type="formula" val="15"/>
        <color rgb="FFFFFFFF"/>
        <color rgb="FFFFFFFF"/>
        <color rgb="FFE67C73"/>
      </colorScale>
    </cfRule>
  </conditionalFormatting>
  <conditionalFormatting sqref="P13:P40">
    <cfRule type="colorScale" priority="3">
      <colorScale>
        <cfvo type="formula" val="0.9"/>
        <cfvo type="formula" val="0.97"/>
        <cfvo type="formula" val="0.98"/>
        <color rgb="FFFFFFFF"/>
        <color rgb="FF00FF00"/>
        <color rgb="FF00FFFF"/>
      </colorScale>
    </cfRule>
  </conditionalFormatting>
  <dataValidations count="1">
    <dataValidation type="list" allowBlank="1" showErrorMessage="1" sqref="L11" xr:uid="{00000000-0002-0000-0600-000000000000}">
      <formula1>"no,12V BeQuite 80mm, side distance 10cm,3.8 V Ultrafan 30mm, top cooled"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K244"/>
  <sheetViews>
    <sheetView workbookViewId="0"/>
  </sheetViews>
  <sheetFormatPr defaultColWidth="12.7109375" defaultRowHeight="15.75" customHeight="1"/>
  <cols>
    <col min="1" max="1" width="37" customWidth="1"/>
  </cols>
  <sheetData>
    <row r="1" spans="1:63">
      <c r="A1" s="3" t="s">
        <v>492</v>
      </c>
    </row>
    <row r="3" spans="1:63">
      <c r="A3" s="75" t="s">
        <v>415</v>
      </c>
      <c r="B3" s="47" t="s">
        <v>416</v>
      </c>
      <c r="C3" s="47" t="s">
        <v>21</v>
      </c>
      <c r="D3" s="47" t="s">
        <v>417</v>
      </c>
      <c r="E3" s="47" t="s">
        <v>418</v>
      </c>
      <c r="F3" s="76" t="s">
        <v>419</v>
      </c>
      <c r="G3" s="47" t="s">
        <v>420</v>
      </c>
      <c r="H3" s="77" t="s">
        <v>421</v>
      </c>
      <c r="I3" s="76" t="s">
        <v>422</v>
      </c>
      <c r="J3" s="47" t="s">
        <v>423</v>
      </c>
      <c r="K3" s="76" t="s">
        <v>424</v>
      </c>
      <c r="L3" s="122" t="s">
        <v>425</v>
      </c>
      <c r="M3" s="79" t="s">
        <v>493</v>
      </c>
      <c r="N3" s="16"/>
      <c r="O3" s="79" t="s">
        <v>426</v>
      </c>
      <c r="P3" s="47" t="s">
        <v>427</v>
      </c>
      <c r="Q3" s="79" t="s">
        <v>428</v>
      </c>
      <c r="R3" s="80" t="s">
        <v>430</v>
      </c>
      <c r="S3" s="47" t="s">
        <v>431</v>
      </c>
      <c r="T3" s="47" t="s">
        <v>432</v>
      </c>
      <c r="U3" s="47" t="s">
        <v>433</v>
      </c>
      <c r="V3" s="47" t="s">
        <v>434</v>
      </c>
      <c r="W3" s="16"/>
      <c r="X3" s="16"/>
      <c r="Y3" s="57"/>
      <c r="Z3" s="57"/>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row>
    <row r="4" spans="1:63">
      <c r="A4" s="16" t="s">
        <v>435</v>
      </c>
      <c r="B4" s="38">
        <v>300</v>
      </c>
      <c r="C4" s="81">
        <v>45604</v>
      </c>
      <c r="D4" s="82" t="s">
        <v>436</v>
      </c>
      <c r="E4" s="38" t="s">
        <v>437</v>
      </c>
      <c r="F4" s="55" t="s">
        <v>438</v>
      </c>
      <c r="G4" s="38" t="s">
        <v>439</v>
      </c>
      <c r="H4" s="61">
        <v>1000</v>
      </c>
      <c r="I4" s="61" t="s">
        <v>439</v>
      </c>
      <c r="J4" s="38" t="s">
        <v>440</v>
      </c>
      <c r="K4" s="61" t="s">
        <v>441</v>
      </c>
      <c r="L4" s="123" t="s">
        <v>442</v>
      </c>
      <c r="M4" s="63" t="s">
        <v>494</v>
      </c>
      <c r="N4" s="16"/>
      <c r="O4" s="63" t="s">
        <v>443</v>
      </c>
      <c r="P4" s="63" t="s">
        <v>443</v>
      </c>
      <c r="Q4" s="63" t="s">
        <v>444</v>
      </c>
      <c r="R4" s="86" t="s">
        <v>445</v>
      </c>
      <c r="S4" s="38" t="s">
        <v>446</v>
      </c>
      <c r="T4" s="38" t="s">
        <v>447</v>
      </c>
      <c r="U4" s="38" t="s">
        <v>443</v>
      </c>
      <c r="V4" s="38" t="s">
        <v>449</v>
      </c>
      <c r="W4" s="16"/>
      <c r="X4" s="16"/>
      <c r="Y4" s="57"/>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row>
    <row r="5" spans="1:63">
      <c r="A5" s="124" t="s">
        <v>450</v>
      </c>
      <c r="B5" s="125" t="s">
        <v>451</v>
      </c>
      <c r="C5" s="126" t="s">
        <v>452</v>
      </c>
      <c r="D5" s="125" t="s">
        <v>453</v>
      </c>
      <c r="E5" s="126" t="s">
        <v>454</v>
      </c>
      <c r="F5" s="127" t="s">
        <v>455</v>
      </c>
      <c r="G5" s="125" t="s">
        <v>456</v>
      </c>
      <c r="H5" s="125" t="s">
        <v>457</v>
      </c>
      <c r="I5" s="126" t="s">
        <v>458</v>
      </c>
      <c r="J5" s="125" t="s">
        <v>459</v>
      </c>
      <c r="K5" s="125" t="s">
        <v>460</v>
      </c>
      <c r="L5" s="128" t="s">
        <v>461</v>
      </c>
      <c r="M5" s="129" t="s">
        <v>462</v>
      </c>
      <c r="N5" s="129" t="s">
        <v>463</v>
      </c>
      <c r="O5" s="119" t="s">
        <v>464</v>
      </c>
      <c r="P5" s="119" t="s">
        <v>465</v>
      </c>
      <c r="Q5" s="128" t="s">
        <v>367</v>
      </c>
      <c r="R5" s="119" t="s">
        <v>466</v>
      </c>
      <c r="S5" s="127" t="s">
        <v>467</v>
      </c>
      <c r="T5" s="127" t="s">
        <v>468</v>
      </c>
      <c r="U5" s="125" t="s">
        <v>469</v>
      </c>
      <c r="V5" s="125" t="s">
        <v>470</v>
      </c>
      <c r="W5" s="125" t="s">
        <v>471</v>
      </c>
      <c r="X5" s="125" t="s">
        <v>472</v>
      </c>
      <c r="Y5" s="125" t="s">
        <v>473</v>
      </c>
      <c r="Z5" s="125" t="s">
        <v>474</v>
      </c>
      <c r="AA5" s="125" t="s">
        <v>475</v>
      </c>
      <c r="AB5" s="126" t="s">
        <v>476</v>
      </c>
      <c r="AC5" s="125" t="s">
        <v>477</v>
      </c>
      <c r="AD5" s="125" t="s">
        <v>478</v>
      </c>
      <c r="AE5" s="125" t="s">
        <v>495</v>
      </c>
      <c r="AF5" s="125" t="s">
        <v>496</v>
      </c>
      <c r="AG5" s="76" t="s">
        <v>484</v>
      </c>
      <c r="AH5" s="47" t="s">
        <v>497</v>
      </c>
      <c r="AI5" s="47" t="s">
        <v>498</v>
      </c>
      <c r="AJ5" s="47" t="s">
        <v>499</v>
      </c>
      <c r="AK5" s="16"/>
      <c r="AL5" s="16"/>
      <c r="AM5" s="47"/>
      <c r="AN5" s="47"/>
      <c r="AO5" s="47"/>
      <c r="AP5" s="47"/>
      <c r="AQ5" s="47"/>
      <c r="AR5" s="47"/>
      <c r="AS5" s="47"/>
      <c r="AT5" s="47"/>
      <c r="AU5" s="47"/>
      <c r="AV5" s="47"/>
      <c r="AW5" s="47"/>
      <c r="AX5" s="47"/>
      <c r="AY5" s="47"/>
      <c r="AZ5" s="47"/>
      <c r="BA5" s="47"/>
      <c r="BB5" s="47"/>
      <c r="BC5" s="47"/>
      <c r="BD5" s="47"/>
      <c r="BE5" s="47"/>
      <c r="BF5" s="47"/>
      <c r="BG5" s="47"/>
      <c r="BH5" s="47"/>
      <c r="BI5" s="47"/>
      <c r="BJ5" s="47"/>
      <c r="BK5" s="47"/>
    </row>
    <row r="6" spans="1:63">
      <c r="A6" s="130" t="s">
        <v>480</v>
      </c>
      <c r="B6" s="131">
        <v>80.2</v>
      </c>
      <c r="C6" s="72">
        <v>24.1</v>
      </c>
      <c r="D6" s="131" t="s">
        <v>481</v>
      </c>
      <c r="E6" s="131">
        <v>5.36</v>
      </c>
      <c r="F6" s="131">
        <v>1098</v>
      </c>
      <c r="G6" s="131">
        <v>18.5</v>
      </c>
      <c r="H6" s="131">
        <v>0</v>
      </c>
      <c r="I6" s="72">
        <v>80.239999999999995</v>
      </c>
      <c r="J6" s="131">
        <v>2490</v>
      </c>
      <c r="K6" s="72">
        <v>212.8</v>
      </c>
      <c r="L6" s="132">
        <f t="shared" ref="L6:L19" si="0">(J6/1000)*1/(2*PI()*0.0000000224*I6*1000)</f>
        <v>220.48575718092343</v>
      </c>
      <c r="M6" s="133">
        <f t="shared" ref="M6:M19" si="1">(0.00561673546297382+ 0.406460306032157*H6
    -0.0000254657386682608*H6*H6)*1000</f>
        <v>5.6167354629738204</v>
      </c>
      <c r="N6" s="100">
        <f t="shared" ref="N6:N19" si="2">E6*F6/1000</f>
        <v>5.8852800000000007</v>
      </c>
      <c r="O6" s="100">
        <f t="shared" ref="O6:O19" si="3">M6*G6/1000</f>
        <v>0.10390960606501567</v>
      </c>
      <c r="P6" s="134">
        <f t="shared" ref="P6:P19" si="4">N6-O6</f>
        <v>5.781370393934985</v>
      </c>
      <c r="Q6" s="121">
        <f t="shared" ref="Q6:Q19" si="5">O6/N6</f>
        <v>1.7655847481345945E-2</v>
      </c>
      <c r="R6" s="103">
        <f t="shared" ref="R6:R19" si="6">28/2*(1/((E6/G6)*0.5))</f>
        <v>96.641791044776113</v>
      </c>
      <c r="S6" s="130"/>
      <c r="T6" s="130"/>
      <c r="U6" s="130"/>
      <c r="V6" s="130"/>
      <c r="W6" s="130"/>
      <c r="X6" s="130"/>
      <c r="Y6" s="130"/>
      <c r="Z6" s="130"/>
      <c r="AA6" s="130"/>
      <c r="AB6" s="130"/>
      <c r="AC6" s="130"/>
      <c r="AD6" s="130"/>
      <c r="AE6" s="130"/>
      <c r="AF6" s="16"/>
      <c r="AG6" s="63">
        <v>9.5114000000000001</v>
      </c>
      <c r="AH6" s="114">
        <v>1.4231692985014727E-2</v>
      </c>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row>
    <row r="7" spans="1:63">
      <c r="A7" s="16"/>
      <c r="B7" s="47">
        <v>83</v>
      </c>
      <c r="C7" s="61">
        <v>24.1</v>
      </c>
      <c r="D7" s="38" t="s">
        <v>481</v>
      </c>
      <c r="E7" s="38">
        <v>35.03</v>
      </c>
      <c r="F7" s="38">
        <v>217</v>
      </c>
      <c r="G7" s="38">
        <v>21</v>
      </c>
      <c r="H7" s="38">
        <v>0</v>
      </c>
      <c r="I7" s="61">
        <v>83.02</v>
      </c>
      <c r="J7" s="38">
        <v>2739</v>
      </c>
      <c r="K7" s="61">
        <v>224.8</v>
      </c>
      <c r="L7" s="135">
        <f t="shared" si="0"/>
        <v>234.41285078073983</v>
      </c>
      <c r="M7" s="39">
        <f t="shared" si="1"/>
        <v>5.6167354629738204</v>
      </c>
      <c r="N7" s="63">
        <f t="shared" si="2"/>
        <v>7.6015100000000002</v>
      </c>
      <c r="O7" s="63">
        <f t="shared" si="3"/>
        <v>0.11795144472245023</v>
      </c>
      <c r="P7" s="136">
        <f t="shared" si="4"/>
        <v>7.4835585552775497</v>
      </c>
      <c r="Q7" s="114">
        <f t="shared" si="5"/>
        <v>1.5516843985267431E-2</v>
      </c>
      <c r="R7" s="106">
        <f t="shared" si="6"/>
        <v>16.785612332286611</v>
      </c>
      <c r="S7" s="38">
        <v>2</v>
      </c>
      <c r="T7" s="38">
        <v>46</v>
      </c>
      <c r="U7" s="38">
        <v>46</v>
      </c>
      <c r="V7" s="38">
        <v>49</v>
      </c>
      <c r="W7" s="38">
        <v>34</v>
      </c>
      <c r="X7" s="38">
        <v>37</v>
      </c>
      <c r="Y7" s="38">
        <v>58</v>
      </c>
      <c r="Z7" s="38">
        <v>42</v>
      </c>
      <c r="AA7" s="38">
        <v>60</v>
      </c>
      <c r="AB7" s="38">
        <v>43</v>
      </c>
      <c r="AC7" s="38">
        <v>22.4</v>
      </c>
      <c r="AD7" s="16"/>
      <c r="AE7" s="16"/>
      <c r="AF7" s="16"/>
      <c r="AG7" s="63">
        <v>11.508280000000001</v>
      </c>
      <c r="AH7" s="114">
        <v>0.21604396002077422</v>
      </c>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row>
    <row r="8" spans="1:63">
      <c r="A8" s="16"/>
      <c r="B8" s="47">
        <v>80.2</v>
      </c>
      <c r="C8" s="61">
        <v>24.1</v>
      </c>
      <c r="D8" s="38" t="s">
        <v>481</v>
      </c>
      <c r="E8" s="38">
        <v>42.04</v>
      </c>
      <c r="F8" s="38">
        <v>180</v>
      </c>
      <c r="G8" s="38">
        <v>21.41</v>
      </c>
      <c r="H8" s="38">
        <v>0</v>
      </c>
      <c r="I8" s="61">
        <v>83.52</v>
      </c>
      <c r="J8" s="38">
        <v>2785</v>
      </c>
      <c r="K8" s="61">
        <v>230.4</v>
      </c>
      <c r="L8" s="135">
        <f t="shared" si="0"/>
        <v>236.92278395194509</v>
      </c>
      <c r="M8" s="39">
        <f t="shared" si="1"/>
        <v>5.6167354629738204</v>
      </c>
      <c r="N8" s="63">
        <f t="shared" si="2"/>
        <v>7.5671999999999997</v>
      </c>
      <c r="O8" s="63">
        <f t="shared" si="3"/>
        <v>0.12025430626226949</v>
      </c>
      <c r="P8" s="137">
        <f t="shared" si="4"/>
        <v>7.4469456937377299</v>
      </c>
      <c r="Q8" s="114">
        <f t="shared" si="5"/>
        <v>1.5891519487032126E-2</v>
      </c>
      <c r="R8" s="106">
        <f t="shared" si="6"/>
        <v>14.259752616555661</v>
      </c>
      <c r="S8" s="16"/>
      <c r="T8" s="16"/>
      <c r="U8" s="16"/>
      <c r="V8" s="16"/>
      <c r="W8" s="16"/>
      <c r="X8" s="16"/>
      <c r="Y8" s="16"/>
      <c r="Z8" s="16"/>
      <c r="AA8" s="16"/>
      <c r="AB8" s="16"/>
      <c r="AC8" s="16"/>
      <c r="AD8" s="16"/>
      <c r="AE8" s="16"/>
      <c r="AF8" s="16"/>
      <c r="AG8" s="63">
        <v>12.845630999999999</v>
      </c>
      <c r="AH8" s="114">
        <v>0.29268206868852781</v>
      </c>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row>
    <row r="9" spans="1:63">
      <c r="A9" s="16" t="s">
        <v>482</v>
      </c>
      <c r="B9" s="38">
        <v>80.2</v>
      </c>
      <c r="C9" s="61">
        <v>24.1</v>
      </c>
      <c r="D9" s="38" t="s">
        <v>481</v>
      </c>
      <c r="E9" s="38">
        <v>6.4649999999999999</v>
      </c>
      <c r="F9" s="38">
        <v>1210</v>
      </c>
      <c r="G9" s="38">
        <v>22.7</v>
      </c>
      <c r="H9" s="38">
        <v>0</v>
      </c>
      <c r="I9" s="61">
        <v>80.316000000000003</v>
      </c>
      <c r="J9" s="38">
        <v>3007</v>
      </c>
      <c r="K9" s="61">
        <v>254.7</v>
      </c>
      <c r="L9" s="135">
        <f t="shared" si="0"/>
        <v>266.01337322338441</v>
      </c>
      <c r="M9" s="39">
        <f t="shared" si="1"/>
        <v>5.6167354629738204</v>
      </c>
      <c r="N9" s="63">
        <f t="shared" si="2"/>
        <v>7.8226499999999994</v>
      </c>
      <c r="O9" s="63">
        <f t="shared" si="3"/>
        <v>0.12749989500950573</v>
      </c>
      <c r="P9" s="138">
        <f t="shared" si="4"/>
        <v>7.6951501049904936</v>
      </c>
      <c r="Q9" s="114">
        <f t="shared" si="5"/>
        <v>1.6298811145776141E-2</v>
      </c>
      <c r="R9" s="106">
        <f t="shared" si="6"/>
        <v>98.313998453209578</v>
      </c>
      <c r="S9" s="38">
        <v>3</v>
      </c>
      <c r="T9" s="38">
        <v>51</v>
      </c>
      <c r="U9" s="38">
        <v>50</v>
      </c>
      <c r="V9" s="38">
        <v>56</v>
      </c>
      <c r="W9" s="38">
        <v>41</v>
      </c>
      <c r="X9" s="38">
        <v>44</v>
      </c>
      <c r="Y9" s="38">
        <v>71</v>
      </c>
      <c r="Z9" s="38">
        <v>47</v>
      </c>
      <c r="AA9" s="38">
        <v>70</v>
      </c>
      <c r="AB9" s="38">
        <v>47</v>
      </c>
      <c r="AC9" s="38">
        <v>25</v>
      </c>
      <c r="AD9" s="16"/>
      <c r="AE9" s="16"/>
      <c r="AF9" s="16"/>
      <c r="AG9" s="63">
        <v>16.696400000000001</v>
      </c>
      <c r="AH9" s="114">
        <v>0.459840645082641</v>
      </c>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row>
    <row r="10" spans="1:63">
      <c r="A10" s="16"/>
      <c r="B10" s="38">
        <v>80.2</v>
      </c>
      <c r="C10" s="61">
        <v>24.1</v>
      </c>
      <c r="D10" s="38" t="s">
        <v>481</v>
      </c>
      <c r="E10" s="38">
        <v>5.8579999999999997</v>
      </c>
      <c r="F10" s="38">
        <v>1288</v>
      </c>
      <c r="G10" s="38">
        <v>22.7</v>
      </c>
      <c r="H10" s="38">
        <v>0</v>
      </c>
      <c r="I10" s="61">
        <v>79.92</v>
      </c>
      <c r="J10" s="38">
        <v>3045</v>
      </c>
      <c r="K10" s="61">
        <v>259.10000000000002</v>
      </c>
      <c r="L10" s="135">
        <f t="shared" si="0"/>
        <v>270.70977323016166</v>
      </c>
      <c r="M10" s="39">
        <f t="shared" si="1"/>
        <v>5.6167354629738204</v>
      </c>
      <c r="N10" s="63">
        <f t="shared" si="2"/>
        <v>7.5451039999999994</v>
      </c>
      <c r="O10" s="63">
        <f t="shared" si="3"/>
        <v>0.12749989500950573</v>
      </c>
      <c r="P10" s="137">
        <f t="shared" si="4"/>
        <v>7.4176041049904935</v>
      </c>
      <c r="Q10" s="114">
        <f t="shared" si="5"/>
        <v>1.6898361508271554E-2</v>
      </c>
      <c r="R10" s="106">
        <f t="shared" si="6"/>
        <v>108.50119494708092</v>
      </c>
      <c r="S10" s="16"/>
      <c r="T10" s="16"/>
      <c r="U10" s="16"/>
      <c r="V10" s="16"/>
      <c r="W10" s="16"/>
      <c r="X10" s="16"/>
      <c r="Y10" s="16"/>
      <c r="Z10" s="16"/>
      <c r="AA10" s="16"/>
      <c r="AB10" s="16"/>
      <c r="AC10" s="16"/>
      <c r="AD10" s="16"/>
      <c r="AE10" s="16"/>
      <c r="AF10" s="16"/>
      <c r="AG10" s="63">
        <v>23.375730000000001</v>
      </c>
      <c r="AH10" s="114">
        <v>0.6133638762770891</v>
      </c>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1:63">
      <c r="A11" s="139"/>
      <c r="B11" s="124">
        <v>81.7</v>
      </c>
      <c r="C11" s="107">
        <v>24.1</v>
      </c>
      <c r="D11" s="140" t="s">
        <v>481</v>
      </c>
      <c r="E11" s="140">
        <v>49.99</v>
      </c>
      <c r="F11" s="140">
        <v>245</v>
      </c>
      <c r="G11" s="140">
        <v>24.1</v>
      </c>
      <c r="H11" s="140">
        <v>0</v>
      </c>
      <c r="I11" s="107">
        <v>83.6</v>
      </c>
      <c r="J11" s="140">
        <v>3099</v>
      </c>
      <c r="K11" s="107">
        <v>259</v>
      </c>
      <c r="L11" s="141">
        <f t="shared" si="0"/>
        <v>263.38280109459572</v>
      </c>
      <c r="M11" s="142">
        <f t="shared" si="1"/>
        <v>5.6167354629738204</v>
      </c>
      <c r="N11" s="110">
        <f t="shared" si="2"/>
        <v>12.24755</v>
      </c>
      <c r="O11" s="110">
        <f t="shared" si="3"/>
        <v>0.13536332465766907</v>
      </c>
      <c r="P11" s="143">
        <f t="shared" si="4"/>
        <v>12.112186675342331</v>
      </c>
      <c r="Q11" s="144">
        <f t="shared" si="5"/>
        <v>1.1052277774548303E-2</v>
      </c>
      <c r="R11" s="113">
        <f t="shared" si="6"/>
        <v>13.498699739947988</v>
      </c>
      <c r="S11" s="140">
        <v>5</v>
      </c>
      <c r="T11" s="140">
        <v>47</v>
      </c>
      <c r="U11" s="140">
        <v>47</v>
      </c>
      <c r="V11" s="140">
        <v>49</v>
      </c>
      <c r="W11" s="140">
        <v>32</v>
      </c>
      <c r="X11" s="140">
        <v>35</v>
      </c>
      <c r="Y11" s="140">
        <v>58</v>
      </c>
      <c r="Z11" s="140">
        <v>41</v>
      </c>
      <c r="AA11" s="140">
        <v>58</v>
      </c>
      <c r="AB11" s="139"/>
      <c r="AC11" s="140">
        <v>22.6</v>
      </c>
      <c r="AD11" s="139"/>
      <c r="AE11" s="139"/>
      <c r="AF11" s="16"/>
      <c r="AG11" s="63">
        <v>37.452779999999997</v>
      </c>
      <c r="AH11" s="114">
        <v>0.73843425457338829</v>
      </c>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row>
    <row r="12" spans="1:63">
      <c r="A12" s="16" t="s">
        <v>483</v>
      </c>
      <c r="B12" s="38">
        <v>81.7</v>
      </c>
      <c r="C12" s="61">
        <v>24.1</v>
      </c>
      <c r="D12" s="47" t="s">
        <v>481</v>
      </c>
      <c r="E12" s="38">
        <v>50.06</v>
      </c>
      <c r="F12" s="38">
        <v>190</v>
      </c>
      <c r="G12" s="38">
        <v>24.1</v>
      </c>
      <c r="H12" s="38">
        <v>0</v>
      </c>
      <c r="I12" s="61">
        <v>83.51</v>
      </c>
      <c r="J12" s="38">
        <v>3099</v>
      </c>
      <c r="K12" s="61">
        <v>358.9</v>
      </c>
      <c r="L12" s="135">
        <f t="shared" si="0"/>
        <v>263.66665275425936</v>
      </c>
      <c r="M12" s="39">
        <f t="shared" si="1"/>
        <v>5.6167354629738204</v>
      </c>
      <c r="N12" s="63">
        <f t="shared" si="2"/>
        <v>9.5114000000000001</v>
      </c>
      <c r="O12" s="63">
        <f t="shared" si="3"/>
        <v>0.13536332465766907</v>
      </c>
      <c r="P12" s="145">
        <f t="shared" si="4"/>
        <v>9.3760366753423305</v>
      </c>
      <c r="Q12" s="114">
        <f t="shared" si="5"/>
        <v>1.4231692985014727E-2</v>
      </c>
      <c r="R12" s="106">
        <f t="shared" si="6"/>
        <v>13.479824210946862</v>
      </c>
      <c r="S12" s="16"/>
      <c r="T12" s="16"/>
      <c r="U12" s="16"/>
      <c r="V12" s="16"/>
      <c r="W12" s="16"/>
      <c r="X12" s="16"/>
      <c r="Y12" s="16"/>
      <c r="Z12" s="16"/>
      <c r="AA12" s="16"/>
      <c r="AB12" s="16"/>
      <c r="AC12" s="16"/>
      <c r="AD12" s="16"/>
      <c r="AE12" s="16"/>
      <c r="AF12" s="16"/>
      <c r="AG12" s="63">
        <v>50.524160000000002</v>
      </c>
      <c r="AH12" s="114">
        <v>0.81095326888082764</v>
      </c>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row>
    <row r="13" spans="1:63">
      <c r="A13" s="16"/>
      <c r="B13" s="38">
        <v>81.7</v>
      </c>
      <c r="C13" s="61">
        <v>24.1</v>
      </c>
      <c r="D13" s="38" t="s">
        <v>481</v>
      </c>
      <c r="E13" s="38">
        <v>50.036000000000001</v>
      </c>
      <c r="F13" s="38">
        <v>230</v>
      </c>
      <c r="G13" s="38">
        <v>24.1</v>
      </c>
      <c r="H13" s="38">
        <v>0.24</v>
      </c>
      <c r="I13" s="61">
        <v>83.47</v>
      </c>
      <c r="J13" s="38">
        <v>3100</v>
      </c>
      <c r="K13" s="61">
        <v>262.10000000000002</v>
      </c>
      <c r="L13" s="135">
        <f t="shared" si="0"/>
        <v>263.87812750564547</v>
      </c>
      <c r="M13" s="39">
        <f t="shared" si="1"/>
        <v>103.16574208414421</v>
      </c>
      <c r="N13" s="63">
        <f t="shared" si="2"/>
        <v>11.508280000000001</v>
      </c>
      <c r="O13" s="63">
        <f t="shared" si="3"/>
        <v>2.4862943842278757</v>
      </c>
      <c r="P13" s="146">
        <f t="shared" si="4"/>
        <v>9.0219856157721257</v>
      </c>
      <c r="Q13" s="114">
        <f t="shared" si="5"/>
        <v>0.21604396002077422</v>
      </c>
      <c r="R13" s="106">
        <f t="shared" si="6"/>
        <v>13.486289871292669</v>
      </c>
      <c r="S13" s="16"/>
      <c r="T13" s="16"/>
      <c r="U13" s="16"/>
      <c r="V13" s="16"/>
      <c r="W13" s="16"/>
      <c r="X13" s="16"/>
      <c r="Y13" s="16"/>
      <c r="Z13" s="16"/>
      <c r="AA13" s="16"/>
      <c r="AB13" s="16"/>
      <c r="AC13" s="16"/>
      <c r="AD13" s="16"/>
      <c r="AE13" s="16"/>
      <c r="AF13" s="16"/>
      <c r="AG13" s="63">
        <v>9.9618680000000008</v>
      </c>
      <c r="AH13" s="16"/>
      <c r="AI13" s="114">
        <v>0.10208635140262569</v>
      </c>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row>
    <row r="14" spans="1:63">
      <c r="A14" s="16"/>
      <c r="B14" s="38">
        <v>81.7</v>
      </c>
      <c r="C14" s="61">
        <v>24.1</v>
      </c>
      <c r="D14" s="38" t="s">
        <v>481</v>
      </c>
      <c r="E14" s="38">
        <v>49.982999999999997</v>
      </c>
      <c r="F14" s="38">
        <v>257</v>
      </c>
      <c r="G14" s="38">
        <v>24.1</v>
      </c>
      <c r="H14" s="38">
        <v>0.37</v>
      </c>
      <c r="I14" s="61">
        <v>83.46</v>
      </c>
      <c r="J14" s="38">
        <v>3130</v>
      </c>
      <c r="K14" s="61">
        <v>263.2</v>
      </c>
      <c r="L14" s="135">
        <f t="shared" si="0"/>
        <v>266.46371009510142</v>
      </c>
      <c r="M14" s="39">
        <f t="shared" si="1"/>
        <v>156.0035624352482</v>
      </c>
      <c r="N14" s="63">
        <f t="shared" si="2"/>
        <v>12.845630999999999</v>
      </c>
      <c r="O14" s="63">
        <f t="shared" si="3"/>
        <v>3.759685854689482</v>
      </c>
      <c r="P14" s="146">
        <f t="shared" si="4"/>
        <v>9.085945145310518</v>
      </c>
      <c r="Q14" s="114">
        <f t="shared" si="5"/>
        <v>0.29268206868852781</v>
      </c>
      <c r="R14" s="106">
        <f t="shared" si="6"/>
        <v>13.500590200668229</v>
      </c>
      <c r="S14" s="16"/>
      <c r="T14" s="16"/>
      <c r="U14" s="16"/>
      <c r="V14" s="16"/>
      <c r="W14" s="16"/>
      <c r="X14" s="16"/>
      <c r="Y14" s="16"/>
      <c r="Z14" s="16"/>
      <c r="AA14" s="16"/>
      <c r="AB14" s="16"/>
      <c r="AC14" s="16"/>
      <c r="AD14" s="16"/>
      <c r="AE14" s="16"/>
      <c r="AF14" s="16"/>
      <c r="AG14" s="63">
        <v>11.544529999999998</v>
      </c>
      <c r="AH14" s="16"/>
      <c r="AI14" s="114">
        <v>0.21536557869639353</v>
      </c>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row>
    <row r="15" spans="1:63">
      <c r="A15" s="16" t="s">
        <v>485</v>
      </c>
      <c r="B15" s="38">
        <v>81.7</v>
      </c>
      <c r="C15" s="61">
        <v>24.1</v>
      </c>
      <c r="D15" s="38" t="s">
        <v>481</v>
      </c>
      <c r="E15" s="38">
        <v>49.84</v>
      </c>
      <c r="F15" s="38">
        <v>335</v>
      </c>
      <c r="G15" s="38">
        <v>24.1</v>
      </c>
      <c r="H15" s="38">
        <v>0.77</v>
      </c>
      <c r="I15" s="61">
        <v>83.46</v>
      </c>
      <c r="J15" s="38">
        <v>3130</v>
      </c>
      <c r="K15" s="61">
        <v>262.2</v>
      </c>
      <c r="L15" s="135">
        <f t="shared" si="0"/>
        <v>266.46371009510142</v>
      </c>
      <c r="M15" s="39">
        <f t="shared" si="1"/>
        <v>318.57607247127828</v>
      </c>
      <c r="N15" s="63">
        <f t="shared" si="2"/>
        <v>16.696400000000001</v>
      </c>
      <c r="O15" s="63">
        <f t="shared" si="3"/>
        <v>7.6776833465578074</v>
      </c>
      <c r="P15" s="146">
        <f t="shared" si="4"/>
        <v>9.0187166534421941</v>
      </c>
      <c r="Q15" s="114">
        <f t="shared" si="5"/>
        <v>0.459840645082641</v>
      </c>
      <c r="R15" s="106">
        <f t="shared" si="6"/>
        <v>13.539325842696627</v>
      </c>
      <c r="S15" s="16"/>
      <c r="T15" s="16"/>
      <c r="U15" s="16"/>
      <c r="V15" s="16"/>
      <c r="W15" s="16"/>
      <c r="X15" s="16"/>
      <c r="Y15" s="16"/>
      <c r="Z15" s="16"/>
      <c r="AA15" s="16"/>
      <c r="AB15" s="16"/>
      <c r="AC15" s="16"/>
      <c r="AD15" s="16"/>
      <c r="AE15" s="16"/>
      <c r="AF15" s="16"/>
      <c r="AG15" s="63">
        <v>17.164751999999996</v>
      </c>
      <c r="AH15" s="16"/>
      <c r="AI15" s="114">
        <v>0.45870619429089848</v>
      </c>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row>
    <row r="16" spans="1:63">
      <c r="A16" s="16" t="s">
        <v>486</v>
      </c>
      <c r="B16" s="38">
        <v>81.7</v>
      </c>
      <c r="C16" s="61">
        <v>24.1</v>
      </c>
      <c r="D16" s="38" t="s">
        <v>481</v>
      </c>
      <c r="E16" s="38">
        <v>49.63</v>
      </c>
      <c r="F16" s="38">
        <v>471</v>
      </c>
      <c r="G16" s="38">
        <v>24.1</v>
      </c>
      <c r="H16" s="38">
        <v>1.45</v>
      </c>
      <c r="I16" s="61">
        <v>83.41</v>
      </c>
      <c r="J16" s="38">
        <v>3130</v>
      </c>
      <c r="K16" s="61">
        <v>262.89999999999998</v>
      </c>
      <c r="L16" s="135">
        <f t="shared" si="0"/>
        <v>266.62344136838703</v>
      </c>
      <c r="M16" s="39">
        <f t="shared" si="1"/>
        <v>594.93063749405144</v>
      </c>
      <c r="N16" s="63">
        <f t="shared" si="2"/>
        <v>23.375730000000001</v>
      </c>
      <c r="O16" s="63">
        <f t="shared" si="3"/>
        <v>14.33782836360664</v>
      </c>
      <c r="P16" s="146">
        <f t="shared" si="4"/>
        <v>9.0379016363933609</v>
      </c>
      <c r="Q16" s="114">
        <f t="shared" si="5"/>
        <v>0.6133638762770891</v>
      </c>
      <c r="R16" s="106">
        <f t="shared" si="6"/>
        <v>13.596614950634699</v>
      </c>
      <c r="S16" s="38">
        <v>2</v>
      </c>
      <c r="T16" s="38">
        <v>59</v>
      </c>
      <c r="U16" s="38">
        <v>59</v>
      </c>
      <c r="V16" s="38">
        <v>64</v>
      </c>
      <c r="W16" s="38">
        <v>45</v>
      </c>
      <c r="X16" s="38">
        <v>51</v>
      </c>
      <c r="Y16" s="38">
        <v>85</v>
      </c>
      <c r="Z16" s="38">
        <v>55</v>
      </c>
      <c r="AA16" s="38">
        <v>83</v>
      </c>
      <c r="AB16" s="38">
        <v>52</v>
      </c>
      <c r="AC16" s="38">
        <v>24</v>
      </c>
      <c r="AD16" s="16"/>
      <c r="AE16" s="16"/>
      <c r="AF16" s="16"/>
      <c r="AG16" s="63">
        <v>23.522694999999999</v>
      </c>
      <c r="AH16" s="16"/>
      <c r="AI16" s="114">
        <v>0.62618606943820576</v>
      </c>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row>
    <row r="17" spans="1:63">
      <c r="A17" s="16" t="s">
        <v>485</v>
      </c>
      <c r="B17" s="38">
        <v>81.7</v>
      </c>
      <c r="C17" s="61">
        <v>24.1</v>
      </c>
      <c r="D17" s="38" t="s">
        <v>481</v>
      </c>
      <c r="E17" s="38">
        <v>49.41</v>
      </c>
      <c r="F17" s="38">
        <v>758</v>
      </c>
      <c r="G17" s="38">
        <v>24.1</v>
      </c>
      <c r="H17" s="38">
        <v>2.81</v>
      </c>
      <c r="I17" s="61">
        <v>83.09</v>
      </c>
      <c r="J17" s="38">
        <v>3246</v>
      </c>
      <c r="K17" s="61">
        <v>273.5</v>
      </c>
      <c r="L17" s="135">
        <f t="shared" si="0"/>
        <v>277.56958100311425</v>
      </c>
      <c r="M17" s="39">
        <f t="shared" si="1"/>
        <v>1147.5691153942366</v>
      </c>
      <c r="N17" s="63">
        <f t="shared" si="2"/>
        <v>37.452779999999997</v>
      </c>
      <c r="O17" s="63">
        <f t="shared" si="3"/>
        <v>27.656415681001103</v>
      </c>
      <c r="P17" s="147">
        <f t="shared" si="4"/>
        <v>9.7963643189988936</v>
      </c>
      <c r="Q17" s="114">
        <f t="shared" si="5"/>
        <v>0.73843425457338829</v>
      </c>
      <c r="R17" s="106">
        <f t="shared" si="6"/>
        <v>13.657154422181746</v>
      </c>
      <c r="S17" s="38">
        <v>2</v>
      </c>
      <c r="T17" s="38">
        <v>60</v>
      </c>
      <c r="U17" s="38">
        <v>61</v>
      </c>
      <c r="V17" s="38">
        <v>63</v>
      </c>
      <c r="W17" s="38">
        <v>51</v>
      </c>
      <c r="X17" s="38">
        <v>57</v>
      </c>
      <c r="Y17" s="38">
        <v>87</v>
      </c>
      <c r="Z17" s="38">
        <v>59</v>
      </c>
      <c r="AA17" s="38">
        <v>87</v>
      </c>
      <c r="AB17" s="38">
        <v>56</v>
      </c>
      <c r="AC17" s="38">
        <v>24</v>
      </c>
      <c r="AD17" s="16"/>
      <c r="AE17" s="16"/>
      <c r="AF17" s="16"/>
      <c r="AG17" s="63">
        <v>37.206486000000005</v>
      </c>
      <c r="AH17" s="16"/>
      <c r="AI17" s="114">
        <v>0.76437724575090038</v>
      </c>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row>
    <row r="18" spans="1:63">
      <c r="A18" s="16" t="s">
        <v>487</v>
      </c>
      <c r="B18" s="38">
        <v>81.7</v>
      </c>
      <c r="C18" s="61">
        <v>24.1</v>
      </c>
      <c r="D18" s="38" t="s">
        <v>481</v>
      </c>
      <c r="E18" s="38">
        <v>49.34</v>
      </c>
      <c r="F18" s="38">
        <v>1024</v>
      </c>
      <c r="G18" s="38">
        <v>24.1</v>
      </c>
      <c r="H18" s="38">
        <v>4.17</v>
      </c>
      <c r="I18" s="61">
        <v>82.96</v>
      </c>
      <c r="J18" s="38">
        <v>3278</v>
      </c>
      <c r="K18" s="61">
        <v>276.3</v>
      </c>
      <c r="L18" s="135">
        <f t="shared" si="0"/>
        <v>280.74518671607711</v>
      </c>
      <c r="M18" s="39">
        <f t="shared" si="1"/>
        <v>1700.1133904339401</v>
      </c>
      <c r="N18" s="63">
        <f t="shared" si="2"/>
        <v>50.524160000000002</v>
      </c>
      <c r="O18" s="63">
        <f t="shared" si="3"/>
        <v>40.972732709457958</v>
      </c>
      <c r="P18" s="148">
        <f t="shared" si="4"/>
        <v>9.5514272905420441</v>
      </c>
      <c r="Q18" s="114">
        <f t="shared" si="5"/>
        <v>0.81095326888082764</v>
      </c>
      <c r="R18" s="106">
        <f t="shared" si="6"/>
        <v>13.676530198621808</v>
      </c>
      <c r="S18" s="16"/>
      <c r="T18" s="16"/>
      <c r="U18" s="16"/>
      <c r="V18" s="16"/>
      <c r="W18" s="16"/>
      <c r="X18" s="16"/>
      <c r="Y18" s="16"/>
      <c r="Z18" s="16"/>
      <c r="AA18" s="16"/>
      <c r="AB18" s="16"/>
      <c r="AC18" s="16"/>
      <c r="AD18" s="16"/>
      <c r="AE18" s="16"/>
      <c r="AF18" s="16"/>
      <c r="AG18" s="63">
        <v>51.417750999999996</v>
      </c>
      <c r="AH18" s="16"/>
      <c r="AI18" s="114">
        <v>0.82351717733666008</v>
      </c>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row>
    <row r="19" spans="1:63">
      <c r="A19" s="16" t="s">
        <v>488</v>
      </c>
      <c r="B19" s="38">
        <v>81.7</v>
      </c>
      <c r="C19" s="61">
        <v>24.1</v>
      </c>
      <c r="D19" s="38" t="s">
        <v>481</v>
      </c>
      <c r="E19" s="38">
        <v>49.32</v>
      </c>
      <c r="F19" s="38">
        <v>1057</v>
      </c>
      <c r="G19" s="38">
        <v>14.81</v>
      </c>
      <c r="H19" s="38">
        <v>7.7</v>
      </c>
      <c r="I19" s="61">
        <v>81.650000000000006</v>
      </c>
      <c r="J19" s="38">
        <v>2395</v>
      </c>
      <c r="K19" s="61">
        <v>201.1</v>
      </c>
      <c r="L19" s="135">
        <f t="shared" si="0"/>
        <v>208.41138609105136</v>
      </c>
      <c r="M19" s="39">
        <f t="shared" si="1"/>
        <v>3133.8512282649417</v>
      </c>
      <c r="N19" s="63">
        <f t="shared" si="2"/>
        <v>52.131239999999998</v>
      </c>
      <c r="O19" s="63">
        <f t="shared" si="3"/>
        <v>46.412336690603794</v>
      </c>
      <c r="P19" s="149">
        <f t="shared" si="4"/>
        <v>5.7189033093962038</v>
      </c>
      <c r="Q19" s="114">
        <f t="shared" si="5"/>
        <v>0.89029796127243077</v>
      </c>
      <c r="R19" s="106">
        <f t="shared" si="6"/>
        <v>8.4079480940794813</v>
      </c>
      <c r="S19" s="38">
        <v>5</v>
      </c>
      <c r="T19" s="38">
        <v>55</v>
      </c>
      <c r="U19" s="38">
        <v>55</v>
      </c>
      <c r="V19" s="38">
        <v>60</v>
      </c>
      <c r="W19" s="38">
        <v>54</v>
      </c>
      <c r="X19" s="38">
        <v>61</v>
      </c>
      <c r="Y19" s="38">
        <v>73</v>
      </c>
      <c r="Z19" s="38">
        <v>58</v>
      </c>
      <c r="AA19" s="38">
        <v>72</v>
      </c>
      <c r="AB19" s="38">
        <v>58</v>
      </c>
      <c r="AC19" s="38">
        <v>23.8</v>
      </c>
      <c r="AD19" s="16"/>
      <c r="AE19" s="16"/>
      <c r="AF19" s="16"/>
      <c r="AG19" s="63">
        <v>66.315574000000012</v>
      </c>
      <c r="AH19" s="16"/>
      <c r="AI19" s="114">
        <v>0.85256285751848693</v>
      </c>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row>
    <row r="20" spans="1:63">
      <c r="AG20" s="63">
        <v>80.142516000000001</v>
      </c>
      <c r="AH20" s="16"/>
      <c r="AI20" s="114">
        <v>0.88377905466513695</v>
      </c>
      <c r="AJ20" s="16"/>
      <c r="AK20" s="16"/>
      <c r="AL20" s="16"/>
    </row>
    <row r="21" spans="1:63">
      <c r="AG21" s="63">
        <v>96.441599999999994</v>
      </c>
      <c r="AH21" s="16"/>
      <c r="AI21" s="114">
        <v>0.88560634604114452</v>
      </c>
      <c r="AJ21" s="16"/>
      <c r="AK21" s="16"/>
      <c r="AL21" s="16"/>
    </row>
    <row r="22" spans="1:63">
      <c r="A22" s="75" t="s">
        <v>415</v>
      </c>
      <c r="B22" s="47" t="s">
        <v>416</v>
      </c>
      <c r="C22" s="47" t="s">
        <v>21</v>
      </c>
      <c r="D22" s="47" t="s">
        <v>417</v>
      </c>
      <c r="E22" s="47" t="s">
        <v>418</v>
      </c>
      <c r="F22" s="76" t="s">
        <v>419</v>
      </c>
      <c r="G22" s="47" t="s">
        <v>420</v>
      </c>
      <c r="H22" s="77" t="s">
        <v>421</v>
      </c>
      <c r="I22" s="76" t="s">
        <v>422</v>
      </c>
      <c r="J22" s="47" t="s">
        <v>423</v>
      </c>
      <c r="K22" s="76" t="s">
        <v>424</v>
      </c>
      <c r="L22" s="122" t="s">
        <v>425</v>
      </c>
      <c r="M22" s="79" t="s">
        <v>493</v>
      </c>
      <c r="N22" s="16"/>
      <c r="O22" s="79" t="s">
        <v>426</v>
      </c>
      <c r="P22" s="47" t="s">
        <v>427</v>
      </c>
      <c r="Q22" s="79" t="s">
        <v>428</v>
      </c>
      <c r="R22" s="80" t="s">
        <v>430</v>
      </c>
      <c r="S22" s="47" t="s">
        <v>431</v>
      </c>
      <c r="T22" s="47" t="s">
        <v>432</v>
      </c>
      <c r="U22" s="47" t="s">
        <v>433</v>
      </c>
      <c r="V22" s="47" t="s">
        <v>434</v>
      </c>
      <c r="W22" s="16"/>
      <c r="X22" s="16"/>
      <c r="Y22" s="57"/>
      <c r="Z22" s="57"/>
      <c r="AA22" s="16"/>
      <c r="AB22" s="16"/>
      <c r="AC22" s="16"/>
      <c r="AD22" s="16"/>
      <c r="AE22" s="16"/>
      <c r="AF22" s="16"/>
      <c r="AG22" s="63">
        <v>112.18696000000003</v>
      </c>
      <c r="AH22" s="16"/>
      <c r="AI22" s="114">
        <v>0.89300260119014629</v>
      </c>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row>
    <row r="23" spans="1:63">
      <c r="A23" s="16" t="s">
        <v>500</v>
      </c>
      <c r="B23" s="38">
        <v>301</v>
      </c>
      <c r="C23" s="81">
        <v>45606</v>
      </c>
      <c r="D23" s="82" t="s">
        <v>436</v>
      </c>
      <c r="E23" s="38" t="s">
        <v>437</v>
      </c>
      <c r="F23" s="55" t="s">
        <v>438</v>
      </c>
      <c r="G23" s="38" t="s">
        <v>439</v>
      </c>
      <c r="H23" s="61">
        <v>1000</v>
      </c>
      <c r="I23" s="61" t="s">
        <v>439</v>
      </c>
      <c r="J23" s="38" t="s">
        <v>440</v>
      </c>
      <c r="K23" s="61" t="s">
        <v>441</v>
      </c>
      <c r="L23" s="123" t="s">
        <v>442</v>
      </c>
      <c r="M23" s="63" t="s">
        <v>494</v>
      </c>
      <c r="N23" s="16"/>
      <c r="O23" s="63" t="s">
        <v>443</v>
      </c>
      <c r="P23" s="63" t="s">
        <v>443</v>
      </c>
      <c r="Q23" s="63" t="s">
        <v>444</v>
      </c>
      <c r="R23" s="86" t="s">
        <v>445</v>
      </c>
      <c r="S23" s="38" t="s">
        <v>446</v>
      </c>
      <c r="T23" s="38" t="s">
        <v>447</v>
      </c>
      <c r="U23" s="38" t="s">
        <v>443</v>
      </c>
      <c r="V23" s="38" t="s">
        <v>449</v>
      </c>
      <c r="W23" s="16"/>
      <c r="X23" s="16"/>
      <c r="Y23" s="57"/>
      <c r="Z23" s="16"/>
      <c r="AA23" s="16"/>
      <c r="AB23" s="16"/>
      <c r="AC23" s="16"/>
      <c r="AD23" s="16"/>
      <c r="AE23" s="16"/>
      <c r="AF23" s="16"/>
      <c r="AG23" s="110">
        <v>126.53877399999999</v>
      </c>
      <c r="AH23" s="16"/>
      <c r="AI23" s="150">
        <v>0.91850076358246324</v>
      </c>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row>
    <row r="24" spans="1:63">
      <c r="A24" s="124" t="s">
        <v>450</v>
      </c>
      <c r="B24" s="125" t="s">
        <v>451</v>
      </c>
      <c r="C24" s="126" t="s">
        <v>452</v>
      </c>
      <c r="D24" s="125" t="s">
        <v>453</v>
      </c>
      <c r="E24" s="126" t="s">
        <v>454</v>
      </c>
      <c r="F24" s="127" t="s">
        <v>455</v>
      </c>
      <c r="G24" s="125" t="s">
        <v>456</v>
      </c>
      <c r="H24" s="125" t="s">
        <v>457</v>
      </c>
      <c r="I24" s="126" t="s">
        <v>458</v>
      </c>
      <c r="J24" s="125" t="s">
        <v>459</v>
      </c>
      <c r="K24" s="125" t="s">
        <v>460</v>
      </c>
      <c r="L24" s="128" t="s">
        <v>461</v>
      </c>
      <c r="M24" s="129" t="s">
        <v>462</v>
      </c>
      <c r="N24" s="129" t="s">
        <v>463</v>
      </c>
      <c r="O24" s="119" t="s">
        <v>464</v>
      </c>
      <c r="P24" s="119" t="s">
        <v>465</v>
      </c>
      <c r="Q24" s="128" t="s">
        <v>367</v>
      </c>
      <c r="R24" s="119" t="s">
        <v>466</v>
      </c>
      <c r="S24" s="127" t="s">
        <v>467</v>
      </c>
      <c r="T24" s="127" t="s">
        <v>468</v>
      </c>
      <c r="U24" s="125" t="s">
        <v>469</v>
      </c>
      <c r="V24" s="125" t="s">
        <v>470</v>
      </c>
      <c r="W24" s="125" t="s">
        <v>471</v>
      </c>
      <c r="X24" s="125" t="s">
        <v>472</v>
      </c>
      <c r="Y24" s="125" t="s">
        <v>473</v>
      </c>
      <c r="Z24" s="125" t="s">
        <v>474</v>
      </c>
      <c r="AA24" s="125" t="s">
        <v>475</v>
      </c>
      <c r="AB24" s="126" t="s">
        <v>476</v>
      </c>
      <c r="AC24" s="125" t="s">
        <v>477</v>
      </c>
      <c r="AD24" s="125" t="s">
        <v>478</v>
      </c>
      <c r="AE24" s="125" t="s">
        <v>495</v>
      </c>
      <c r="AF24" s="125" t="s">
        <v>496</v>
      </c>
      <c r="AG24" s="63">
        <v>9.2815799999999999</v>
      </c>
      <c r="AH24" s="16"/>
      <c r="AI24" s="16"/>
      <c r="AJ24" s="114">
        <v>0.14123001601804</v>
      </c>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row>
    <row r="25" spans="1:63">
      <c r="A25" s="130"/>
      <c r="B25" s="131">
        <v>85</v>
      </c>
      <c r="C25" s="72">
        <v>24.1</v>
      </c>
      <c r="D25" s="131" t="s">
        <v>481</v>
      </c>
      <c r="E25" s="131">
        <v>62.84</v>
      </c>
      <c r="F25" s="131">
        <v>138.80000000000001</v>
      </c>
      <c r="G25" s="131">
        <v>21.7</v>
      </c>
      <c r="H25" s="131">
        <v>0.09</v>
      </c>
      <c r="I25" s="72">
        <v>85</v>
      </c>
      <c r="J25" s="131">
        <v>2785</v>
      </c>
      <c r="K25" s="72">
        <v>229.5</v>
      </c>
      <c r="L25" s="132">
        <f t="shared" ref="L25:L42" si="7">(J25/1000)*1/(2*PI()*0.0000000224*I25*1000)</f>
        <v>232.7975401843112</v>
      </c>
      <c r="M25" s="133">
        <f t="shared" ref="M25:M42" si="8">(0.00561673546297382+ 0.406460306032157*H25
    -0.0000254657386682608*H25*H25)*1000</f>
        <v>42.197956733384729</v>
      </c>
      <c r="N25" s="100">
        <f t="shared" ref="N25:N42" si="9">E25*F25/1000</f>
        <v>8.7221920000000015</v>
      </c>
      <c r="O25" s="100">
        <f t="shared" ref="O25:O42" si="10">M25*G25/1000</f>
        <v>0.91569566111444867</v>
      </c>
      <c r="P25" s="151">
        <f t="shared" ref="P25:P42" si="11">N25-O25</f>
        <v>7.8064963388855526</v>
      </c>
      <c r="Q25" s="121">
        <f t="shared" ref="Q25:Q42" si="12">O25/N25</f>
        <v>0.10498457969217469</v>
      </c>
      <c r="R25" s="103">
        <f t="shared" ref="R25:R42" si="13">28/2*(1/((E25/G25)*0.5))</f>
        <v>9.6690006365372358</v>
      </c>
      <c r="S25" s="130"/>
      <c r="T25" s="130"/>
      <c r="U25" s="130"/>
      <c r="V25" s="130"/>
      <c r="W25" s="130"/>
      <c r="X25" s="130"/>
      <c r="Y25" s="130"/>
      <c r="Z25" s="130"/>
      <c r="AA25" s="130"/>
      <c r="AB25" s="130"/>
      <c r="AC25" s="130"/>
      <c r="AD25" s="130"/>
      <c r="AE25" s="130"/>
      <c r="AF25" s="16"/>
      <c r="AG25" s="63">
        <v>10.681073999999999</v>
      </c>
      <c r="AH25" s="152"/>
      <c r="AI25" s="16"/>
      <c r="AJ25" s="114">
        <v>0.24194648503816624</v>
      </c>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row>
    <row r="26" spans="1:63">
      <c r="A26" s="16"/>
      <c r="B26" s="38">
        <v>85</v>
      </c>
      <c r="C26" s="61">
        <v>24.1</v>
      </c>
      <c r="D26" s="38" t="s">
        <v>481</v>
      </c>
      <c r="E26" s="38">
        <v>100.22</v>
      </c>
      <c r="F26" s="38">
        <v>99.4</v>
      </c>
      <c r="G26" s="38">
        <v>24.1</v>
      </c>
      <c r="H26" s="38">
        <v>0.09</v>
      </c>
      <c r="I26" s="61">
        <v>87.34</v>
      </c>
      <c r="J26" s="38">
        <v>3023</v>
      </c>
      <c r="K26" s="61">
        <v>242.7</v>
      </c>
      <c r="L26" s="135">
        <f t="shared" si="7"/>
        <v>245.92182489143394</v>
      </c>
      <c r="M26" s="39">
        <f t="shared" si="8"/>
        <v>42.197956733384729</v>
      </c>
      <c r="N26" s="63">
        <f t="shared" si="9"/>
        <v>9.9618680000000008</v>
      </c>
      <c r="O26" s="63">
        <f t="shared" si="10"/>
        <v>1.0169707572745721</v>
      </c>
      <c r="P26" s="153">
        <f t="shared" si="11"/>
        <v>8.9448972427254283</v>
      </c>
      <c r="Q26" s="114">
        <f t="shared" si="12"/>
        <v>0.10208635140262569</v>
      </c>
      <c r="R26" s="106">
        <f t="shared" si="13"/>
        <v>6.7331869886250253</v>
      </c>
      <c r="S26" s="16"/>
      <c r="T26" s="16"/>
      <c r="U26" s="16"/>
      <c r="V26" s="16"/>
      <c r="W26" s="16"/>
      <c r="X26" s="16"/>
      <c r="Y26" s="16"/>
      <c r="Z26" s="16"/>
      <c r="AA26" s="16"/>
      <c r="AB26" s="16"/>
      <c r="AC26" s="16"/>
      <c r="AD26" s="16"/>
      <c r="AE26" s="16"/>
      <c r="AF26" s="16"/>
      <c r="AG26" s="63">
        <v>16.449571000000002</v>
      </c>
      <c r="AH26" s="152"/>
      <c r="AI26" s="16"/>
      <c r="AJ26" s="114">
        <v>0.48460383808212604</v>
      </c>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row>
    <row r="27" spans="1:63">
      <c r="A27" s="16"/>
      <c r="B27" s="38">
        <v>85</v>
      </c>
      <c r="C27" s="61">
        <v>24.1</v>
      </c>
      <c r="D27" s="38" t="s">
        <v>481</v>
      </c>
      <c r="E27" s="38">
        <v>100.3</v>
      </c>
      <c r="F27" s="38">
        <v>115.1</v>
      </c>
      <c r="G27" s="38">
        <v>24.1</v>
      </c>
      <c r="H27" s="38">
        <v>0.24</v>
      </c>
      <c r="I27" s="61">
        <v>87.3</v>
      </c>
      <c r="J27" s="38">
        <v>3049</v>
      </c>
      <c r="K27" s="61">
        <v>245.1</v>
      </c>
      <c r="L27" s="135">
        <f t="shared" si="7"/>
        <v>248.1505796346695</v>
      </c>
      <c r="M27" s="39">
        <f t="shared" si="8"/>
        <v>103.16574208414421</v>
      </c>
      <c r="N27" s="63">
        <f t="shared" si="9"/>
        <v>11.544529999999998</v>
      </c>
      <c r="O27" s="63">
        <f t="shared" si="10"/>
        <v>2.4862943842278757</v>
      </c>
      <c r="P27" s="146">
        <f t="shared" si="11"/>
        <v>9.0582356157721229</v>
      </c>
      <c r="Q27" s="114">
        <f t="shared" si="12"/>
        <v>0.21536557869639353</v>
      </c>
      <c r="R27" s="106">
        <f t="shared" si="13"/>
        <v>6.7278165503489538</v>
      </c>
      <c r="S27" s="16"/>
      <c r="T27" s="16"/>
      <c r="U27" s="16"/>
      <c r="V27" s="16"/>
      <c r="W27" s="16"/>
      <c r="X27" s="16"/>
      <c r="Y27" s="16"/>
      <c r="Z27" s="16"/>
      <c r="AA27" s="16"/>
      <c r="AB27" s="16"/>
      <c r="AC27" s="16"/>
      <c r="AD27" s="16"/>
      <c r="AE27" s="16"/>
      <c r="AF27" s="16"/>
      <c r="AG27" s="63">
        <v>23.395618000000002</v>
      </c>
      <c r="AH27" s="152"/>
      <c r="AI27" s="16"/>
      <c r="AJ27" s="114">
        <v>0.62958729812752678</v>
      </c>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row>
    <row r="28" spans="1:63">
      <c r="A28" s="16"/>
      <c r="B28" s="38">
        <v>85</v>
      </c>
      <c r="C28" s="61">
        <v>24.1</v>
      </c>
      <c r="D28" s="38" t="s">
        <v>481</v>
      </c>
      <c r="E28" s="38">
        <v>100.32</v>
      </c>
      <c r="F28" s="38">
        <v>171.1</v>
      </c>
      <c r="G28" s="38">
        <v>24.1</v>
      </c>
      <c r="H28" s="38">
        <v>0.79</v>
      </c>
      <c r="I28" s="61">
        <v>87.2</v>
      </c>
      <c r="J28" s="38">
        <v>3102</v>
      </c>
      <c r="K28" s="61">
        <v>249.5</v>
      </c>
      <c r="L28" s="135">
        <f t="shared" si="7"/>
        <v>252.75364180816848</v>
      </c>
      <c r="M28" s="39">
        <f t="shared" si="8"/>
        <v>326.70448406087496</v>
      </c>
      <c r="N28" s="63">
        <f t="shared" si="9"/>
        <v>17.164751999999996</v>
      </c>
      <c r="O28" s="63">
        <f t="shared" si="10"/>
        <v>7.8735780658670871</v>
      </c>
      <c r="P28" s="154">
        <f t="shared" si="11"/>
        <v>9.2911739341329103</v>
      </c>
      <c r="Q28" s="114">
        <f t="shared" si="12"/>
        <v>0.45870619429089848</v>
      </c>
      <c r="R28" s="106">
        <f t="shared" si="13"/>
        <v>6.7264752791068592</v>
      </c>
      <c r="S28" s="38">
        <v>2</v>
      </c>
      <c r="T28" s="38">
        <v>52</v>
      </c>
      <c r="U28" s="38">
        <v>53</v>
      </c>
      <c r="V28" s="38">
        <v>56</v>
      </c>
      <c r="W28" s="38">
        <v>39</v>
      </c>
      <c r="X28" s="38">
        <v>46</v>
      </c>
      <c r="Y28" s="38">
        <v>67</v>
      </c>
      <c r="Z28" s="38">
        <v>48</v>
      </c>
      <c r="AA28" s="38">
        <v>73</v>
      </c>
      <c r="AB28" s="38">
        <v>48</v>
      </c>
      <c r="AC28" s="38">
        <v>25</v>
      </c>
      <c r="AD28" s="38">
        <v>27</v>
      </c>
      <c r="AE28" s="38">
        <v>24</v>
      </c>
      <c r="AF28" s="16"/>
      <c r="AG28" s="63">
        <v>36.745351999999997</v>
      </c>
      <c r="AH28" s="152"/>
      <c r="AI28" s="16"/>
      <c r="AJ28" s="114">
        <v>0.77396976065842116</v>
      </c>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row>
    <row r="29" spans="1:63">
      <c r="A29" s="16" t="s">
        <v>485</v>
      </c>
      <c r="B29" s="38">
        <v>85</v>
      </c>
      <c r="C29" s="61">
        <v>24.1</v>
      </c>
      <c r="D29" s="38" t="s">
        <v>481</v>
      </c>
      <c r="E29" s="38">
        <v>100.31</v>
      </c>
      <c r="F29" s="38">
        <v>234.5</v>
      </c>
      <c r="G29" s="38">
        <v>24.1</v>
      </c>
      <c r="H29" s="38">
        <v>1.49</v>
      </c>
      <c r="I29" s="61">
        <v>87.3</v>
      </c>
      <c r="J29" s="38">
        <v>3090</v>
      </c>
      <c r="K29" s="61">
        <v>245.3</v>
      </c>
      <c r="L29" s="135">
        <f t="shared" si="7"/>
        <v>251.48746837360733</v>
      </c>
      <c r="M29" s="39">
        <f t="shared" si="8"/>
        <v>611.18605496447026</v>
      </c>
      <c r="N29" s="63">
        <f t="shared" si="9"/>
        <v>23.522694999999999</v>
      </c>
      <c r="O29" s="63">
        <f t="shared" si="10"/>
        <v>14.729583924643734</v>
      </c>
      <c r="P29" s="155">
        <f t="shared" si="11"/>
        <v>8.7931110753562649</v>
      </c>
      <c r="Q29" s="114">
        <f t="shared" si="12"/>
        <v>0.62618606943820576</v>
      </c>
      <c r="R29" s="106">
        <f t="shared" si="13"/>
        <v>6.7271458478715989</v>
      </c>
      <c r="S29" s="16"/>
      <c r="T29" s="16"/>
      <c r="U29" s="16"/>
      <c r="V29" s="16"/>
      <c r="W29" s="16"/>
      <c r="X29" s="16"/>
      <c r="Y29" s="16"/>
      <c r="Z29" s="16"/>
      <c r="AA29" s="16"/>
      <c r="AB29" s="16"/>
      <c r="AC29" s="16"/>
      <c r="AD29" s="16"/>
      <c r="AE29" s="16"/>
      <c r="AF29" s="16"/>
      <c r="AG29" s="57"/>
      <c r="AH29" s="152"/>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row>
    <row r="30" spans="1:63">
      <c r="A30" s="16" t="s">
        <v>486</v>
      </c>
      <c r="B30" s="38">
        <v>85</v>
      </c>
      <c r="C30" s="61">
        <v>24.1</v>
      </c>
      <c r="D30" s="38" t="s">
        <v>481</v>
      </c>
      <c r="E30" s="38">
        <v>100.26</v>
      </c>
      <c r="F30" s="38">
        <v>371.1</v>
      </c>
      <c r="G30" s="38">
        <v>24.1</v>
      </c>
      <c r="H30" s="38">
        <v>2.89</v>
      </c>
      <c r="I30" s="61">
        <v>87.3</v>
      </c>
      <c r="J30" s="38">
        <v>3111</v>
      </c>
      <c r="K30" s="156">
        <v>249.6</v>
      </c>
      <c r="L30" s="61">
        <f t="shared" si="7"/>
        <v>253.19660650818528</v>
      </c>
      <c r="M30" s="39">
        <f t="shared" si="8"/>
        <v>1180.0743274999766</v>
      </c>
      <c r="N30" s="63">
        <f t="shared" si="9"/>
        <v>37.206486000000005</v>
      </c>
      <c r="O30" s="63">
        <f t="shared" si="10"/>
        <v>28.439791292749437</v>
      </c>
      <c r="P30" s="155">
        <f t="shared" si="11"/>
        <v>8.7666947072505685</v>
      </c>
      <c r="Q30" s="114">
        <f t="shared" si="12"/>
        <v>0.76437724575090038</v>
      </c>
      <c r="R30" s="106">
        <f t="shared" si="13"/>
        <v>6.7305006981847191</v>
      </c>
      <c r="S30" s="38">
        <v>1</v>
      </c>
      <c r="T30" s="38">
        <v>55</v>
      </c>
      <c r="U30" s="38">
        <v>56</v>
      </c>
      <c r="V30" s="38">
        <v>60</v>
      </c>
      <c r="W30" s="38">
        <v>42</v>
      </c>
      <c r="X30" s="38">
        <v>50</v>
      </c>
      <c r="Y30" s="38">
        <v>80</v>
      </c>
      <c r="Z30" s="38">
        <v>53</v>
      </c>
      <c r="AA30" s="38">
        <v>79</v>
      </c>
      <c r="AB30" s="38">
        <v>51</v>
      </c>
      <c r="AC30" s="38">
        <v>25</v>
      </c>
      <c r="AD30" s="38">
        <v>33</v>
      </c>
      <c r="AE30" s="38">
        <v>24</v>
      </c>
      <c r="AF30" s="16"/>
      <c r="AG30" s="57"/>
      <c r="AH30" s="157"/>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row>
    <row r="31" spans="1:63">
      <c r="A31" s="16" t="s">
        <v>486</v>
      </c>
      <c r="B31" s="38">
        <v>85</v>
      </c>
      <c r="C31" s="61">
        <v>24.1</v>
      </c>
      <c r="D31" s="38" t="s">
        <v>481</v>
      </c>
      <c r="E31" s="38">
        <v>100.21</v>
      </c>
      <c r="F31" s="38">
        <v>513.1</v>
      </c>
      <c r="G31" s="38">
        <v>24.1</v>
      </c>
      <c r="H31" s="38">
        <v>4.3099999999999996</v>
      </c>
      <c r="I31" s="61">
        <v>87.1</v>
      </c>
      <c r="J31" s="38">
        <v>3189</v>
      </c>
      <c r="K31" s="61">
        <v>252.2</v>
      </c>
      <c r="L31" s="135">
        <f t="shared" si="7"/>
        <v>260.14080363296205</v>
      </c>
      <c r="M31" s="39">
        <f t="shared" si="8"/>
        <v>1756.9876003534948</v>
      </c>
      <c r="N31" s="63">
        <f t="shared" si="9"/>
        <v>51.417750999999996</v>
      </c>
      <c r="O31" s="63">
        <f t="shared" si="10"/>
        <v>42.343401168519229</v>
      </c>
      <c r="P31" s="146">
        <f t="shared" si="11"/>
        <v>9.0743498314807667</v>
      </c>
      <c r="Q31" s="114">
        <f t="shared" si="12"/>
        <v>0.82351717733666008</v>
      </c>
      <c r="R31" s="106">
        <f t="shared" si="13"/>
        <v>6.7338588963177335</v>
      </c>
      <c r="S31" s="16"/>
      <c r="T31" s="16"/>
      <c r="U31" s="16"/>
      <c r="V31" s="16"/>
      <c r="W31" s="16"/>
      <c r="X31" s="16"/>
      <c r="Y31" s="16"/>
      <c r="Z31" s="16"/>
      <c r="AA31" s="16"/>
      <c r="AB31" s="16"/>
      <c r="AC31" s="16"/>
      <c r="AD31" s="16"/>
      <c r="AE31" s="16"/>
      <c r="AF31" s="16"/>
      <c r="AG31" s="57"/>
      <c r="AH31" s="157"/>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row>
    <row r="32" spans="1:63">
      <c r="A32" s="16" t="s">
        <v>485</v>
      </c>
      <c r="B32" s="38">
        <v>85</v>
      </c>
      <c r="C32" s="61">
        <v>24.1</v>
      </c>
      <c r="D32" s="38" t="s">
        <v>481</v>
      </c>
      <c r="E32" s="38">
        <v>100.22</v>
      </c>
      <c r="F32" s="38">
        <v>661.7</v>
      </c>
      <c r="G32" s="38">
        <v>24.1</v>
      </c>
      <c r="H32" s="38">
        <v>5.76</v>
      </c>
      <c r="I32" s="61">
        <v>86.9</v>
      </c>
      <c r="J32" s="38">
        <v>3239</v>
      </c>
      <c r="K32" s="61">
        <v>261</v>
      </c>
      <c r="L32" s="135">
        <f t="shared" si="7"/>
        <v>264.82762446297517</v>
      </c>
      <c r="M32" s="39">
        <f t="shared" si="8"/>
        <v>2345.9832061169577</v>
      </c>
      <c r="N32" s="63">
        <f t="shared" si="9"/>
        <v>66.315574000000012</v>
      </c>
      <c r="O32" s="63">
        <f t="shared" si="10"/>
        <v>56.538195267418686</v>
      </c>
      <c r="P32" s="147">
        <f t="shared" si="11"/>
        <v>9.7773787325813259</v>
      </c>
      <c r="Q32" s="114">
        <f t="shared" si="12"/>
        <v>0.85256285751848693</v>
      </c>
      <c r="R32" s="106">
        <f t="shared" si="13"/>
        <v>6.7331869886250253</v>
      </c>
      <c r="S32" s="38">
        <v>1</v>
      </c>
      <c r="T32" s="38">
        <v>59</v>
      </c>
      <c r="U32" s="38">
        <v>61</v>
      </c>
      <c r="V32" s="38">
        <v>62</v>
      </c>
      <c r="W32" s="38">
        <v>52</v>
      </c>
      <c r="X32" s="38">
        <v>56</v>
      </c>
      <c r="Y32" s="38">
        <v>87</v>
      </c>
      <c r="Z32" s="38">
        <v>61</v>
      </c>
      <c r="AA32" s="38">
        <v>86</v>
      </c>
      <c r="AB32" s="16"/>
      <c r="AC32" s="38">
        <v>57</v>
      </c>
      <c r="AD32" s="38">
        <v>38</v>
      </c>
      <c r="AE32" s="38">
        <v>27</v>
      </c>
      <c r="AF32" s="16"/>
      <c r="AG32" s="57"/>
      <c r="AH32" s="157"/>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row>
    <row r="33" spans="1:63">
      <c r="A33" s="16" t="s">
        <v>501</v>
      </c>
      <c r="B33" s="38">
        <v>85</v>
      </c>
      <c r="C33" s="61">
        <v>24.1</v>
      </c>
      <c r="D33" s="38" t="s">
        <v>481</v>
      </c>
      <c r="E33" s="38">
        <v>100.53</v>
      </c>
      <c r="F33" s="38">
        <v>797.2</v>
      </c>
      <c r="G33" s="38">
        <v>24.1</v>
      </c>
      <c r="H33" s="38">
        <v>7.22</v>
      </c>
      <c r="I33" s="61">
        <v>86.9</v>
      </c>
      <c r="J33" s="38">
        <v>3289</v>
      </c>
      <c r="K33" s="61">
        <v>260.60000000000002</v>
      </c>
      <c r="L33" s="135">
        <f t="shared" si="7"/>
        <v>268.91573228117483</v>
      </c>
      <c r="M33" s="39">
        <f t="shared" si="8"/>
        <v>2938.9326568035526</v>
      </c>
      <c r="N33" s="63">
        <f t="shared" si="9"/>
        <v>80.142516000000001</v>
      </c>
      <c r="O33" s="63">
        <f t="shared" si="10"/>
        <v>70.828277028965616</v>
      </c>
      <c r="P33" s="154">
        <f t="shared" si="11"/>
        <v>9.3142389710343849</v>
      </c>
      <c r="Q33" s="114">
        <f t="shared" si="12"/>
        <v>0.88377905466513695</v>
      </c>
      <c r="R33" s="106">
        <f t="shared" si="13"/>
        <v>6.7124241519944308</v>
      </c>
      <c r="S33" s="38">
        <v>2</v>
      </c>
      <c r="T33" s="38">
        <v>61</v>
      </c>
      <c r="U33" s="38">
        <v>60</v>
      </c>
      <c r="V33" s="38">
        <v>66</v>
      </c>
      <c r="W33" s="38">
        <v>51</v>
      </c>
      <c r="X33" s="38">
        <v>54</v>
      </c>
      <c r="Y33" s="38">
        <v>91</v>
      </c>
      <c r="Z33" s="38">
        <v>61</v>
      </c>
      <c r="AA33" s="38">
        <v>89</v>
      </c>
      <c r="AB33" s="38">
        <v>54</v>
      </c>
      <c r="AC33" s="38">
        <v>25</v>
      </c>
      <c r="AD33" s="38">
        <v>42</v>
      </c>
      <c r="AE33" s="38">
        <v>28</v>
      </c>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row>
    <row r="34" spans="1:63">
      <c r="A34" s="16"/>
      <c r="B34" s="38">
        <v>85</v>
      </c>
      <c r="C34" s="61">
        <v>24.1</v>
      </c>
      <c r="D34" s="38" t="s">
        <v>481</v>
      </c>
      <c r="E34" s="38">
        <v>100.46</v>
      </c>
      <c r="F34" s="38">
        <v>960</v>
      </c>
      <c r="G34" s="38">
        <v>24.1</v>
      </c>
      <c r="H34" s="38">
        <v>8.7100000000000009</v>
      </c>
      <c r="I34" s="61">
        <v>86.5</v>
      </c>
      <c r="J34" s="38">
        <v>3354</v>
      </c>
      <c r="K34" s="61">
        <v>266.2</v>
      </c>
      <c r="L34" s="135">
        <f t="shared" si="7"/>
        <v>275.4983893116314</v>
      </c>
      <c r="M34" s="39">
        <f t="shared" si="8"/>
        <v>3543.9540656581589</v>
      </c>
      <c r="N34" s="63">
        <f t="shared" si="9"/>
        <v>96.441599999999994</v>
      </c>
      <c r="O34" s="63">
        <f t="shared" si="10"/>
        <v>85.409292982361634</v>
      </c>
      <c r="P34" s="158">
        <f t="shared" si="11"/>
        <v>11.03230701763836</v>
      </c>
      <c r="Q34" s="114">
        <f t="shared" si="12"/>
        <v>0.88560634604114452</v>
      </c>
      <c r="R34" s="106">
        <f t="shared" si="13"/>
        <v>6.7171013338642256</v>
      </c>
      <c r="S34" s="38">
        <v>2</v>
      </c>
      <c r="T34" s="38">
        <v>62</v>
      </c>
      <c r="U34" s="38">
        <v>62</v>
      </c>
      <c r="V34" s="38">
        <v>67</v>
      </c>
      <c r="W34" s="38">
        <v>62</v>
      </c>
      <c r="X34" s="38">
        <v>68</v>
      </c>
      <c r="Y34" s="38">
        <v>93</v>
      </c>
      <c r="Z34" s="38">
        <v>65</v>
      </c>
      <c r="AA34" s="38">
        <v>91</v>
      </c>
      <c r="AB34" s="38">
        <v>65</v>
      </c>
      <c r="AC34" s="38">
        <v>25</v>
      </c>
      <c r="AD34" s="38">
        <v>46</v>
      </c>
      <c r="AE34" s="38">
        <v>29</v>
      </c>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row>
    <row r="35" spans="1:63">
      <c r="A35" s="16"/>
      <c r="B35" s="38">
        <v>85</v>
      </c>
      <c r="C35" s="61">
        <v>24.1</v>
      </c>
      <c r="D35" s="38" t="s">
        <v>481</v>
      </c>
      <c r="E35" s="38">
        <v>100.4</v>
      </c>
      <c r="F35" s="38">
        <v>1117.4000000000001</v>
      </c>
      <c r="G35" s="38">
        <v>24.1</v>
      </c>
      <c r="H35" s="38">
        <v>10.220000000000001</v>
      </c>
      <c r="I35" s="61">
        <v>86.16</v>
      </c>
      <c r="J35" s="38">
        <v>3403</v>
      </c>
      <c r="K35" s="61">
        <v>270.39999999999998</v>
      </c>
      <c r="L35" s="135">
        <f t="shared" si="7"/>
        <v>280.62630122411366</v>
      </c>
      <c r="M35" s="39">
        <f t="shared" si="8"/>
        <v>4156.9812074529009</v>
      </c>
      <c r="N35" s="63">
        <f t="shared" si="9"/>
        <v>112.18696000000003</v>
      </c>
      <c r="O35" s="63">
        <f t="shared" si="10"/>
        <v>100.18324709961492</v>
      </c>
      <c r="P35" s="159">
        <f t="shared" si="11"/>
        <v>12.003712900385111</v>
      </c>
      <c r="Q35" s="114">
        <f t="shared" si="12"/>
        <v>0.89300260119014629</v>
      </c>
      <c r="R35" s="106">
        <f t="shared" si="13"/>
        <v>6.7211155378486049</v>
      </c>
      <c r="S35" s="38">
        <v>2</v>
      </c>
      <c r="T35" s="38">
        <v>63</v>
      </c>
      <c r="U35" s="38">
        <v>64</v>
      </c>
      <c r="V35" s="38">
        <v>71</v>
      </c>
      <c r="W35" s="38">
        <v>71</v>
      </c>
      <c r="X35" s="38">
        <v>80</v>
      </c>
      <c r="Y35" s="38">
        <v>95</v>
      </c>
      <c r="Z35" s="38">
        <v>68</v>
      </c>
      <c r="AA35" s="38">
        <v>95</v>
      </c>
      <c r="AB35" s="38">
        <v>70</v>
      </c>
      <c r="AC35" s="38">
        <v>25</v>
      </c>
      <c r="AD35" s="38">
        <v>52</v>
      </c>
      <c r="AE35" s="38">
        <v>30</v>
      </c>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row>
    <row r="36" spans="1:63">
      <c r="A36" s="139" t="s">
        <v>502</v>
      </c>
      <c r="B36" s="140">
        <v>85</v>
      </c>
      <c r="C36" s="107">
        <v>24.1</v>
      </c>
      <c r="D36" s="140" t="s">
        <v>481</v>
      </c>
      <c r="E36" s="140">
        <v>100.34</v>
      </c>
      <c r="F36" s="140">
        <v>1261.0999999999999</v>
      </c>
      <c r="G36" s="140">
        <v>24.1</v>
      </c>
      <c r="H36" s="140">
        <v>11.86</v>
      </c>
      <c r="I36" s="107">
        <v>85.74</v>
      </c>
      <c r="J36" s="140">
        <v>3370</v>
      </c>
      <c r="K36" s="107">
        <v>268.5</v>
      </c>
      <c r="L36" s="141">
        <f t="shared" si="7"/>
        <v>279.26630251533254</v>
      </c>
      <c r="M36" s="142">
        <f t="shared" si="8"/>
        <v>4822.653964389574</v>
      </c>
      <c r="N36" s="110">
        <f t="shared" si="9"/>
        <v>126.53877399999999</v>
      </c>
      <c r="O36" s="110">
        <f t="shared" si="10"/>
        <v>116.22596054178874</v>
      </c>
      <c r="P36" s="160">
        <f t="shared" si="11"/>
        <v>10.312813458211252</v>
      </c>
      <c r="Q36" s="161">
        <f t="shared" si="12"/>
        <v>0.91850076358246324</v>
      </c>
      <c r="R36" s="113">
        <f t="shared" si="13"/>
        <v>6.7251345425553115</v>
      </c>
      <c r="S36" s="140">
        <v>2</v>
      </c>
      <c r="T36" s="140">
        <v>63</v>
      </c>
      <c r="U36" s="140">
        <v>64</v>
      </c>
      <c r="V36" s="140">
        <v>72</v>
      </c>
      <c r="W36" s="140">
        <v>61</v>
      </c>
      <c r="X36" s="140">
        <v>67</v>
      </c>
      <c r="Y36" s="140">
        <v>97</v>
      </c>
      <c r="Z36" s="140">
        <v>70</v>
      </c>
      <c r="AA36" s="140">
        <v>95</v>
      </c>
      <c r="AB36" s="140">
        <v>65</v>
      </c>
      <c r="AC36" s="140">
        <v>25</v>
      </c>
      <c r="AD36" s="140">
        <v>58</v>
      </c>
      <c r="AE36" s="140">
        <v>31</v>
      </c>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row>
    <row r="37" spans="1:63">
      <c r="A37" s="16"/>
      <c r="B37" s="38">
        <v>85</v>
      </c>
      <c r="C37" s="61">
        <v>24.1</v>
      </c>
      <c r="D37" s="38" t="s">
        <v>481</v>
      </c>
      <c r="E37" s="38">
        <v>150.91999999999999</v>
      </c>
      <c r="F37" s="38">
        <v>61.5</v>
      </c>
      <c r="G37" s="38">
        <v>24.1</v>
      </c>
      <c r="H37" s="38">
        <v>0.12</v>
      </c>
      <c r="I37" s="61">
        <v>91.5</v>
      </c>
      <c r="J37" s="38">
        <v>2988</v>
      </c>
      <c r="K37" s="61">
        <v>223.3</v>
      </c>
      <c r="L37" s="135">
        <f t="shared" si="7"/>
        <v>232.02330696652186</v>
      </c>
      <c r="M37" s="39">
        <f t="shared" si="8"/>
        <v>54.391605480195835</v>
      </c>
      <c r="N37" s="63">
        <f t="shared" si="9"/>
        <v>9.2815799999999999</v>
      </c>
      <c r="O37" s="63">
        <f t="shared" si="10"/>
        <v>1.3108376920727196</v>
      </c>
      <c r="P37" s="162">
        <f t="shared" si="11"/>
        <v>7.9707423079272806</v>
      </c>
      <c r="Q37" s="114">
        <f t="shared" si="12"/>
        <v>0.14123001601804</v>
      </c>
      <c r="R37" s="106">
        <f t="shared" si="13"/>
        <v>4.471243042671615</v>
      </c>
      <c r="S37" s="38">
        <v>2</v>
      </c>
      <c r="T37" s="38">
        <v>58</v>
      </c>
      <c r="U37" s="38">
        <v>59</v>
      </c>
      <c r="V37" s="38">
        <v>65</v>
      </c>
      <c r="W37" s="38">
        <v>49</v>
      </c>
      <c r="X37" s="38">
        <v>52</v>
      </c>
      <c r="Y37" s="38">
        <v>89</v>
      </c>
      <c r="Z37" s="38">
        <v>59</v>
      </c>
      <c r="AA37" s="38">
        <v>88</v>
      </c>
      <c r="AB37" s="38">
        <v>55</v>
      </c>
      <c r="AC37" s="38">
        <v>25</v>
      </c>
      <c r="AD37" s="38">
        <v>33</v>
      </c>
      <c r="AE37" s="38">
        <v>30</v>
      </c>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row>
    <row r="38" spans="1:63">
      <c r="A38" s="16"/>
      <c r="B38" s="38">
        <v>85</v>
      </c>
      <c r="C38" s="61">
        <v>24.1</v>
      </c>
      <c r="D38" s="38" t="s">
        <v>481</v>
      </c>
      <c r="E38" s="38">
        <v>151.29</v>
      </c>
      <c r="F38" s="38">
        <v>70.599999999999994</v>
      </c>
      <c r="G38" s="38">
        <v>24.1</v>
      </c>
      <c r="H38" s="38">
        <v>0.25</v>
      </c>
      <c r="I38" s="61">
        <v>91.44</v>
      </c>
      <c r="J38" s="38">
        <v>3008</v>
      </c>
      <c r="K38" s="61">
        <v>225.2</v>
      </c>
      <c r="L38" s="135">
        <f t="shared" si="7"/>
        <v>233.72960646541313</v>
      </c>
      <c r="M38" s="39">
        <f t="shared" si="8"/>
        <v>107.2302203623463</v>
      </c>
      <c r="N38" s="63">
        <f t="shared" si="9"/>
        <v>10.681073999999999</v>
      </c>
      <c r="O38" s="63">
        <f t="shared" si="10"/>
        <v>2.584248310732546</v>
      </c>
      <c r="P38" s="163">
        <f t="shared" si="11"/>
        <v>8.0968256892674528</v>
      </c>
      <c r="Q38" s="114">
        <f t="shared" si="12"/>
        <v>0.24194648503816624</v>
      </c>
      <c r="R38" s="106">
        <f t="shared" si="13"/>
        <v>4.4603080177143237</v>
      </c>
      <c r="S38" s="16"/>
      <c r="T38" s="16"/>
      <c r="U38" s="16"/>
      <c r="V38" s="16"/>
      <c r="W38" s="16"/>
      <c r="X38" s="16"/>
      <c r="Y38" s="16"/>
      <c r="Z38" s="16"/>
      <c r="AA38" s="16"/>
      <c r="AB38" s="16"/>
      <c r="AC38" s="16"/>
      <c r="AD38" s="16"/>
      <c r="AE38" s="16"/>
      <c r="AF38" s="16"/>
      <c r="AG38" s="16"/>
      <c r="AH38" s="16"/>
      <c r="AI38" s="16"/>
      <c r="AJ38" s="76" t="s">
        <v>503</v>
      </c>
      <c r="AK38" s="47" t="s">
        <v>497</v>
      </c>
      <c r="AL38" s="47" t="s">
        <v>498</v>
      </c>
      <c r="AM38" s="47" t="s">
        <v>499</v>
      </c>
      <c r="AN38" s="47" t="s">
        <v>504</v>
      </c>
      <c r="AO38" s="47" t="s">
        <v>505</v>
      </c>
      <c r="AP38" s="47" t="s">
        <v>506</v>
      </c>
      <c r="AQ38" s="47" t="s">
        <v>507</v>
      </c>
      <c r="AR38" s="47" t="s">
        <v>508</v>
      </c>
      <c r="AS38" s="16"/>
      <c r="AT38" s="16"/>
      <c r="AU38" s="16"/>
      <c r="AV38" s="16"/>
      <c r="AW38" s="16"/>
      <c r="AX38" s="16"/>
      <c r="AY38" s="16"/>
      <c r="AZ38" s="16"/>
      <c r="BA38" s="16"/>
      <c r="BB38" s="16"/>
      <c r="BC38" s="16"/>
      <c r="BD38" s="16"/>
      <c r="BE38" s="16"/>
      <c r="BF38" s="16"/>
      <c r="BG38" s="16"/>
      <c r="BH38" s="16"/>
      <c r="BI38" s="16"/>
      <c r="BJ38" s="16"/>
      <c r="BK38" s="16"/>
    </row>
    <row r="39" spans="1:63">
      <c r="A39" s="16"/>
      <c r="B39" s="38">
        <v>85</v>
      </c>
      <c r="C39" s="61">
        <v>24.1</v>
      </c>
      <c r="D39" s="38" t="s">
        <v>481</v>
      </c>
      <c r="E39" s="38">
        <v>151.33000000000001</v>
      </c>
      <c r="F39" s="38">
        <v>108.7</v>
      </c>
      <c r="G39" s="38">
        <v>24.1</v>
      </c>
      <c r="H39" s="38">
        <v>0.8</v>
      </c>
      <c r="I39" s="61">
        <v>91.3</v>
      </c>
      <c r="J39" s="38">
        <v>3059</v>
      </c>
      <c r="K39" s="61">
        <v>229.5</v>
      </c>
      <c r="L39" s="135">
        <f t="shared" si="7"/>
        <v>238.05692131420545</v>
      </c>
      <c r="M39" s="39">
        <f t="shared" si="8"/>
        <v>330.76868221595174</v>
      </c>
      <c r="N39" s="63">
        <f t="shared" si="9"/>
        <v>16.449571000000002</v>
      </c>
      <c r="O39" s="63">
        <f t="shared" si="10"/>
        <v>7.9715252414044375</v>
      </c>
      <c r="P39" s="164">
        <f t="shared" si="11"/>
        <v>8.4780457585955649</v>
      </c>
      <c r="Q39" s="114">
        <f t="shared" si="12"/>
        <v>0.48460383808212604</v>
      </c>
      <c r="R39" s="106">
        <f t="shared" si="13"/>
        <v>4.4591290557060734</v>
      </c>
      <c r="S39" s="16"/>
      <c r="T39" s="16"/>
      <c r="U39" s="16"/>
      <c r="V39" s="16"/>
      <c r="W39" s="16"/>
      <c r="X39" s="16"/>
      <c r="Y39" s="16"/>
      <c r="Z39" s="16"/>
      <c r="AA39" s="16"/>
      <c r="AB39" s="16"/>
      <c r="AC39" s="16"/>
      <c r="AD39" s="16"/>
      <c r="AE39" s="16"/>
      <c r="AF39" s="16"/>
      <c r="AG39" s="16"/>
      <c r="AH39" s="16"/>
      <c r="AI39" s="16"/>
      <c r="AJ39" s="63">
        <v>9.5114000000000001</v>
      </c>
      <c r="AK39" s="114">
        <v>1.4231692985014727E-2</v>
      </c>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row>
    <row r="40" spans="1:63">
      <c r="A40" s="16" t="s">
        <v>485</v>
      </c>
      <c r="B40" s="38">
        <v>85</v>
      </c>
      <c r="C40" s="61">
        <v>24.1</v>
      </c>
      <c r="D40" s="38" t="s">
        <v>481</v>
      </c>
      <c r="E40" s="38">
        <v>151.33000000000001</v>
      </c>
      <c r="F40" s="38">
        <v>154.6</v>
      </c>
      <c r="G40" s="38">
        <v>24.1</v>
      </c>
      <c r="H40" s="38">
        <v>1.49</v>
      </c>
      <c r="I40" s="61">
        <v>91.33</v>
      </c>
      <c r="J40" s="38">
        <v>3072</v>
      </c>
      <c r="K40" s="61">
        <v>230.3</v>
      </c>
      <c r="L40" s="135">
        <f t="shared" si="7"/>
        <v>238.99007581332924</v>
      </c>
      <c r="M40" s="39">
        <f t="shared" si="8"/>
        <v>611.18605496447026</v>
      </c>
      <c r="N40" s="63">
        <f t="shared" si="9"/>
        <v>23.395618000000002</v>
      </c>
      <c r="O40" s="63">
        <f t="shared" si="10"/>
        <v>14.729583924643734</v>
      </c>
      <c r="P40" s="165">
        <f t="shared" si="11"/>
        <v>8.6660340753562686</v>
      </c>
      <c r="Q40" s="114">
        <f t="shared" si="12"/>
        <v>0.62958729812752678</v>
      </c>
      <c r="R40" s="106">
        <f t="shared" si="13"/>
        <v>4.4591290557060734</v>
      </c>
      <c r="S40" s="16"/>
      <c r="T40" s="16"/>
      <c r="U40" s="16"/>
      <c r="V40" s="16"/>
      <c r="W40" s="16"/>
      <c r="X40" s="16"/>
      <c r="Y40" s="16"/>
      <c r="Z40" s="16"/>
      <c r="AA40" s="16"/>
      <c r="AB40" s="16"/>
      <c r="AC40" s="16"/>
      <c r="AD40" s="16"/>
      <c r="AE40" s="16"/>
      <c r="AF40" s="16"/>
      <c r="AG40" s="16"/>
      <c r="AH40" s="16"/>
      <c r="AI40" s="16"/>
      <c r="AJ40" s="63">
        <v>11.508280000000001</v>
      </c>
      <c r="AK40" s="114">
        <v>0.21604396002077422</v>
      </c>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row>
    <row r="41" spans="1:63">
      <c r="A41" s="16" t="s">
        <v>509</v>
      </c>
      <c r="B41" s="38">
        <v>85</v>
      </c>
      <c r="C41" s="61">
        <v>24.1</v>
      </c>
      <c r="D41" s="38" t="s">
        <v>481</v>
      </c>
      <c r="E41" s="38">
        <v>151.30000000000001</v>
      </c>
      <c r="F41" s="38">
        <v>243.9</v>
      </c>
      <c r="G41" s="38">
        <v>24.1</v>
      </c>
      <c r="H41" s="38">
        <v>2.89</v>
      </c>
      <c r="I41" s="61">
        <v>91.6</v>
      </c>
      <c r="J41" s="38">
        <v>3060</v>
      </c>
      <c r="K41" s="61">
        <v>228.7</v>
      </c>
      <c r="L41" s="135">
        <f t="shared" si="7"/>
        <v>237.35482584470515</v>
      </c>
      <c r="M41" s="39">
        <f t="shared" si="8"/>
        <v>1180.0743274999766</v>
      </c>
      <c r="N41" s="63">
        <f t="shared" si="9"/>
        <v>36.902070000000009</v>
      </c>
      <c r="O41" s="63">
        <f t="shared" si="10"/>
        <v>28.439791292749437</v>
      </c>
      <c r="P41" s="164">
        <f t="shared" si="11"/>
        <v>8.4622787072505723</v>
      </c>
      <c r="Q41" s="114">
        <f t="shared" si="12"/>
        <v>0.77068281786765425</v>
      </c>
      <c r="R41" s="106">
        <f t="shared" si="13"/>
        <v>4.4600132187706549</v>
      </c>
      <c r="S41" s="16"/>
      <c r="T41" s="16"/>
      <c r="U41" s="16"/>
      <c r="V41" s="16"/>
      <c r="W41" s="16"/>
      <c r="X41" s="16"/>
      <c r="Y41" s="16"/>
      <c r="Z41" s="16"/>
      <c r="AA41" s="16"/>
      <c r="AB41" s="16"/>
      <c r="AC41" s="16"/>
      <c r="AD41" s="16"/>
      <c r="AE41" s="16"/>
      <c r="AF41" s="16"/>
      <c r="AG41" s="16"/>
      <c r="AH41" s="16"/>
      <c r="AI41" s="16"/>
      <c r="AJ41" s="63">
        <v>12.845630999999999</v>
      </c>
      <c r="AK41" s="114">
        <v>0.29268206868852781</v>
      </c>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row>
    <row r="42" spans="1:63">
      <c r="A42" s="16" t="s">
        <v>510</v>
      </c>
      <c r="B42" s="38">
        <v>85</v>
      </c>
      <c r="C42" s="61">
        <v>24.1</v>
      </c>
      <c r="D42" s="47" t="s">
        <v>511</v>
      </c>
      <c r="E42" s="38">
        <v>151.34</v>
      </c>
      <c r="F42" s="38">
        <v>242.8</v>
      </c>
      <c r="G42" s="38">
        <v>24.1</v>
      </c>
      <c r="H42" s="38">
        <v>2.89</v>
      </c>
      <c r="I42" s="61">
        <v>91.57</v>
      </c>
      <c r="J42" s="38">
        <v>3032</v>
      </c>
      <c r="K42" s="61">
        <v>227.3</v>
      </c>
      <c r="L42" s="135">
        <f t="shared" si="7"/>
        <v>235.26000184023283</v>
      </c>
      <c r="M42" s="39">
        <f t="shared" si="8"/>
        <v>1180.0743274999766</v>
      </c>
      <c r="N42" s="63">
        <f t="shared" si="9"/>
        <v>36.745351999999997</v>
      </c>
      <c r="O42" s="63">
        <f t="shared" si="10"/>
        <v>28.439791292749437</v>
      </c>
      <c r="P42" s="166">
        <f t="shared" si="11"/>
        <v>8.3055607072505602</v>
      </c>
      <c r="Q42" s="114">
        <f t="shared" si="12"/>
        <v>0.77396976065842116</v>
      </c>
      <c r="R42" s="106">
        <f t="shared" si="13"/>
        <v>4.458834412580944</v>
      </c>
      <c r="S42" s="16"/>
      <c r="T42" s="16"/>
      <c r="U42" s="16"/>
      <c r="V42" s="16"/>
      <c r="W42" s="16"/>
      <c r="X42" s="16"/>
      <c r="Y42" s="16"/>
      <c r="Z42" s="16"/>
      <c r="AA42" s="16"/>
      <c r="AB42" s="16"/>
      <c r="AC42" s="16"/>
      <c r="AD42" s="16"/>
      <c r="AE42" s="16"/>
      <c r="AF42" s="16"/>
      <c r="AG42" s="16"/>
      <c r="AH42" s="16"/>
      <c r="AI42" s="16"/>
      <c r="AJ42" s="63">
        <v>16.696400000000001</v>
      </c>
      <c r="AK42" s="114">
        <v>0.459840645082641</v>
      </c>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row>
    <row r="43" spans="1:6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63">
        <v>23.375730000000001</v>
      </c>
      <c r="AK43" s="114">
        <v>0.6133638762770891</v>
      </c>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row>
    <row r="44" spans="1:63">
      <c r="A44" s="16" t="s">
        <v>512</v>
      </c>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63">
        <v>37.452779999999997</v>
      </c>
      <c r="AK44" s="114">
        <v>0.73843425457338829</v>
      </c>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row>
    <row r="45" spans="1:63">
      <c r="A45" s="75" t="s">
        <v>513</v>
      </c>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63">
        <v>50.524160000000002</v>
      </c>
      <c r="AK45" s="114">
        <v>0.81095326888082764</v>
      </c>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row>
    <row r="46" spans="1:63">
      <c r="A46" s="16" t="s">
        <v>514</v>
      </c>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63">
        <v>8.5823975999999984</v>
      </c>
      <c r="AK46" s="16"/>
      <c r="AL46" s="40">
        <v>0.10721466327324199</v>
      </c>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row>
    <row r="47" spans="1:63">
      <c r="A47" s="16" t="s">
        <v>515</v>
      </c>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63">
        <v>23.640335999999998</v>
      </c>
      <c r="AK47" s="16"/>
      <c r="AL47" s="40">
        <v>0.61969757471927844</v>
      </c>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row>
    <row r="48" spans="1:63">
      <c r="A48" s="16" t="s">
        <v>516</v>
      </c>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63">
        <v>37.517468999999998</v>
      </c>
      <c r="AK48" s="16"/>
      <c r="AL48" s="40">
        <v>0.75637165467378098</v>
      </c>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row>
    <row r="49" spans="1:63">
      <c r="A49" s="16" t="s">
        <v>517</v>
      </c>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63">
        <v>51.512139000000005</v>
      </c>
      <c r="AK49" s="16"/>
      <c r="AL49" s="40">
        <v>0.82303145665393207</v>
      </c>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row>
    <row r="50" spans="1:63">
      <c r="A50" s="16" t="s">
        <v>518</v>
      </c>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63">
        <v>65.870756</v>
      </c>
      <c r="AK50" s="16"/>
      <c r="AL50" s="40">
        <v>0.8593885693918889</v>
      </c>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row>
    <row r="51" spans="1:63">
      <c r="A51" s="16" t="s">
        <v>519</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63">
        <v>80.233279999999993</v>
      </c>
      <c r="AK51" s="16"/>
      <c r="AL51" s="40">
        <v>0.88509948847859243</v>
      </c>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row>
    <row r="52" spans="1:63">
      <c r="A52" s="16" t="s">
        <v>520</v>
      </c>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63">
        <v>96.784796</v>
      </c>
      <c r="AK52" s="16"/>
      <c r="AL52" s="40">
        <v>0.88457678177955523</v>
      </c>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row>
    <row r="53" spans="1:63">
      <c r="A53" s="16" t="s">
        <v>521</v>
      </c>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63">
        <v>112.51477</v>
      </c>
      <c r="AK53" s="16"/>
      <c r="AL53" s="40">
        <v>0.89449151776168867</v>
      </c>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row>
    <row r="54" spans="1:63">
      <c r="A54" s="16" t="s">
        <v>522</v>
      </c>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63">
        <v>125.91165599999999</v>
      </c>
      <c r="AK54" s="16"/>
      <c r="AL54" s="40">
        <v>0.91993883618028838</v>
      </c>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row>
    <row r="55" spans="1:63">
      <c r="A55" s="16" t="s">
        <v>523</v>
      </c>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63">
        <v>141.51546500000001</v>
      </c>
      <c r="AK55" s="16"/>
      <c r="AL55" s="40">
        <v>0.9271883737496992</v>
      </c>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row>
    <row r="56" spans="1:63">
      <c r="A56" s="16" t="s">
        <v>524</v>
      </c>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63">
        <v>8.4304143000000007</v>
      </c>
      <c r="AK56" s="16"/>
      <c r="AL56" s="16"/>
      <c r="AM56" s="40">
        <v>0.10919275968806519</v>
      </c>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row>
    <row r="57" spans="1:63">
      <c r="A57" s="16" t="s">
        <v>525</v>
      </c>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63">
        <v>23.063956399999999</v>
      </c>
      <c r="AK57" s="16"/>
      <c r="AL57" s="16"/>
      <c r="AM57" s="40">
        <v>0.63544735572042677</v>
      </c>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row>
    <row r="58" spans="1:63">
      <c r="A58" s="16" t="s">
        <v>526</v>
      </c>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63">
        <v>37.203139999999998</v>
      </c>
      <c r="AK58" s="16"/>
      <c r="AL58" s="16"/>
      <c r="AM58" s="40">
        <v>0.76307833743711995</v>
      </c>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row>
    <row r="59" spans="1:63">
      <c r="A59" s="16" t="s">
        <v>527</v>
      </c>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63">
        <v>51.332634599999999</v>
      </c>
      <c r="AK59" s="16"/>
      <c r="AL59" s="16"/>
      <c r="AM59" s="40">
        <v>0.82434136517169154</v>
      </c>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row>
    <row r="60" spans="1:63">
      <c r="A60" s="16" t="s">
        <v>528</v>
      </c>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63">
        <v>65.650803200000013</v>
      </c>
      <c r="AK60" s="16"/>
      <c r="AL60" s="16"/>
      <c r="AM60" s="40">
        <v>0.86262515971264386</v>
      </c>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row>
    <row r="61" spans="1:63">
      <c r="A61" s="16" t="s">
        <v>529</v>
      </c>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63">
        <v>80.456309000000005</v>
      </c>
      <c r="AK61" s="16"/>
      <c r="AL61" s="16"/>
      <c r="AM61" s="40">
        <v>0.88423016754763539</v>
      </c>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row>
    <row r="62" spans="1:63">
      <c r="A62" s="16" t="s">
        <v>530</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63">
        <v>95.165335200000001</v>
      </c>
      <c r="AK62" s="16"/>
      <c r="AL62" s="16"/>
      <c r="AM62" s="40">
        <v>0.90206258087862878</v>
      </c>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row>
    <row r="63" spans="1:63">
      <c r="A63" s="16" t="s">
        <v>531</v>
      </c>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63">
        <v>110.7592272</v>
      </c>
      <c r="AK63" s="16"/>
      <c r="AL63" s="16"/>
      <c r="AM63" s="40">
        <v>0.91132350661042083</v>
      </c>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row>
    <row r="64" spans="1:63">
      <c r="A64" s="16" t="s">
        <v>532</v>
      </c>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63">
        <v>129.343098</v>
      </c>
      <c r="AK64" s="16"/>
      <c r="AL64" s="16"/>
      <c r="AM64" s="40">
        <v>0.89780550211142496</v>
      </c>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row>
    <row r="65" spans="1:6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63">
        <v>145.18220099999999</v>
      </c>
      <c r="AK65" s="16"/>
      <c r="AL65" s="16"/>
      <c r="AM65" s="40">
        <v>0.90598293635460181</v>
      </c>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row>
    <row r="66" spans="1:63">
      <c r="A66" s="16" t="s">
        <v>533</v>
      </c>
      <c r="B66" s="38">
        <v>85</v>
      </c>
      <c r="C66" s="61">
        <v>24.1</v>
      </c>
      <c r="D66" s="38" t="s">
        <v>511</v>
      </c>
      <c r="E66" s="38">
        <v>102.98</v>
      </c>
      <c r="F66" s="38">
        <v>496.5</v>
      </c>
      <c r="G66" s="38">
        <v>24.1</v>
      </c>
      <c r="H66" s="38">
        <v>4.3</v>
      </c>
      <c r="I66" s="61">
        <v>87.22</v>
      </c>
      <c r="J66" s="38">
        <v>3208</v>
      </c>
      <c r="K66" s="61">
        <v>259.3</v>
      </c>
      <c r="L66" s="135">
        <f>(J66/1000)*1/(2*PI()*0.0000000224*I66*1000)</f>
        <v>261.33067522132058</v>
      </c>
      <c r="M66" s="39">
        <f>(0.00561673546297382+ 0.406460306032157*H66
    -0.0000254657386682608*H66*H66)*1000</f>
        <v>1752.925189893273</v>
      </c>
      <c r="N66" s="63">
        <f>E66*F66/1000</f>
        <v>51.129570000000001</v>
      </c>
      <c r="O66" s="63">
        <f>M66*G66/1000</f>
        <v>42.245497076427881</v>
      </c>
      <c r="P66" s="167">
        <f>N66-O66</f>
        <v>8.8840729235721199</v>
      </c>
      <c r="Q66" s="114">
        <f>O66/N66</f>
        <v>0.82624393431096488</v>
      </c>
      <c r="R66" s="106">
        <f>28/2*(1/((E66/G66)*0.5))</f>
        <v>6.5527286851815889</v>
      </c>
      <c r="S66" s="16"/>
      <c r="T66" s="16"/>
      <c r="U66" s="16"/>
      <c r="V66" s="16"/>
      <c r="W66" s="16"/>
      <c r="X66" s="16"/>
      <c r="Y66" s="16"/>
      <c r="Z66" s="16"/>
      <c r="AA66" s="16"/>
      <c r="AB66" s="16"/>
      <c r="AC66" s="16"/>
      <c r="AD66" s="16"/>
      <c r="AE66" s="16"/>
      <c r="AF66" s="16"/>
      <c r="AG66" s="16"/>
      <c r="AH66" s="16"/>
      <c r="AI66" s="16"/>
      <c r="AJ66" s="63">
        <v>160.64281199999999</v>
      </c>
      <c r="AK66" s="16"/>
      <c r="AL66" s="16"/>
      <c r="AM66" s="40">
        <v>0.92326098246805754</v>
      </c>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row>
    <row r="67" spans="1:63">
      <c r="A67" s="16"/>
      <c r="B67" s="16"/>
      <c r="C67" s="55"/>
      <c r="D67" s="16"/>
      <c r="E67" s="16"/>
      <c r="F67" s="16"/>
      <c r="G67" s="16"/>
      <c r="H67" s="16"/>
      <c r="I67" s="55"/>
      <c r="J67" s="16"/>
      <c r="K67" s="55"/>
      <c r="L67" s="55"/>
      <c r="M67" s="168"/>
      <c r="N67" s="57"/>
      <c r="O67" s="57"/>
      <c r="P67" s="57"/>
      <c r="Q67" s="152"/>
      <c r="R67" s="57"/>
      <c r="S67" s="16"/>
      <c r="T67" s="16"/>
      <c r="U67" s="16"/>
      <c r="V67" s="16"/>
      <c r="W67" s="16"/>
      <c r="X67" s="16"/>
      <c r="Y67" s="16"/>
      <c r="Z67" s="16"/>
      <c r="AA67" s="16"/>
      <c r="AB67" s="16"/>
      <c r="AC67" s="16"/>
      <c r="AD67" s="16"/>
      <c r="AE67" s="16"/>
      <c r="AF67" s="16"/>
      <c r="AG67" s="16"/>
      <c r="AH67" s="16"/>
      <c r="AI67" s="16"/>
      <c r="AJ67" s="63">
        <v>174.667045</v>
      </c>
      <c r="AK67" s="16"/>
      <c r="AL67" s="16"/>
      <c r="AM67" s="40">
        <v>0.9416734995571715</v>
      </c>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row>
    <row r="68" spans="1:63">
      <c r="A68" s="16" t="s">
        <v>534</v>
      </c>
      <c r="B68" s="16"/>
      <c r="C68" s="55"/>
      <c r="D68" s="16"/>
      <c r="E68" s="16"/>
      <c r="F68" s="16"/>
      <c r="G68" s="16"/>
      <c r="H68" s="16"/>
      <c r="I68" s="55"/>
      <c r="J68" s="16"/>
      <c r="K68" s="55"/>
      <c r="L68" s="55"/>
      <c r="M68" s="168"/>
      <c r="N68" s="57"/>
      <c r="O68" s="57"/>
      <c r="P68" s="57"/>
      <c r="Q68" s="152"/>
      <c r="R68" s="57"/>
      <c r="S68" s="16"/>
      <c r="T68" s="16"/>
      <c r="U68" s="16"/>
      <c r="V68" s="16"/>
      <c r="W68" s="16"/>
      <c r="X68" s="16"/>
      <c r="Y68" s="16"/>
      <c r="Z68" s="16"/>
      <c r="AA68" s="16"/>
      <c r="AB68" s="16"/>
      <c r="AC68" s="16"/>
      <c r="AD68" s="16"/>
      <c r="AE68" s="16"/>
      <c r="AF68" s="16"/>
      <c r="AG68" s="16"/>
      <c r="AH68" s="16"/>
      <c r="AI68" s="16"/>
      <c r="AJ68" s="63">
        <v>191.01224999999999</v>
      </c>
      <c r="AK68" s="16"/>
      <c r="AL68" s="16"/>
      <c r="AM68" s="40">
        <v>0.94530726040003366</v>
      </c>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row>
    <row r="69" spans="1:63">
      <c r="A69" s="75" t="s">
        <v>415</v>
      </c>
      <c r="B69" s="47" t="s">
        <v>416</v>
      </c>
      <c r="C69" s="47" t="s">
        <v>21</v>
      </c>
      <c r="D69" s="47" t="s">
        <v>417</v>
      </c>
      <c r="E69" s="47" t="s">
        <v>418</v>
      </c>
      <c r="F69" s="76" t="s">
        <v>419</v>
      </c>
      <c r="G69" s="47" t="s">
        <v>420</v>
      </c>
      <c r="H69" s="77" t="s">
        <v>421</v>
      </c>
      <c r="I69" s="76" t="s">
        <v>422</v>
      </c>
      <c r="J69" s="47" t="s">
        <v>423</v>
      </c>
      <c r="K69" s="76" t="s">
        <v>424</v>
      </c>
      <c r="L69" s="122" t="s">
        <v>425</v>
      </c>
      <c r="M69" s="79" t="s">
        <v>493</v>
      </c>
      <c r="N69" s="16"/>
      <c r="O69" s="79" t="s">
        <v>426</v>
      </c>
      <c r="P69" s="47" t="s">
        <v>427</v>
      </c>
      <c r="Q69" s="79" t="s">
        <v>428</v>
      </c>
      <c r="R69" s="80" t="s">
        <v>430</v>
      </c>
      <c r="S69" s="47" t="s">
        <v>431</v>
      </c>
      <c r="T69" s="47" t="s">
        <v>432</v>
      </c>
      <c r="U69" s="47" t="s">
        <v>433</v>
      </c>
      <c r="V69" s="47" t="s">
        <v>434</v>
      </c>
      <c r="W69" s="75" t="s">
        <v>429</v>
      </c>
      <c r="X69" s="16"/>
      <c r="Y69" s="57"/>
      <c r="Z69" s="57"/>
      <c r="AA69" s="16"/>
      <c r="AB69" s="16"/>
      <c r="AC69" s="16"/>
      <c r="AD69" s="16"/>
      <c r="AE69" s="16"/>
      <c r="AF69" s="16"/>
      <c r="AG69" s="16"/>
      <c r="AH69" s="16"/>
      <c r="AI69" s="16"/>
      <c r="AJ69" s="63">
        <v>207.77775199999999</v>
      </c>
      <c r="AK69" s="16"/>
      <c r="AL69" s="16"/>
      <c r="AM69" s="40">
        <v>0.94770354241340904</v>
      </c>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row>
    <row r="70" spans="1:63">
      <c r="A70" s="16" t="s">
        <v>535</v>
      </c>
      <c r="B70" s="38">
        <v>302</v>
      </c>
      <c r="C70" s="81">
        <v>45607</v>
      </c>
      <c r="D70" s="82" t="s">
        <v>436</v>
      </c>
      <c r="E70" s="38" t="s">
        <v>437</v>
      </c>
      <c r="F70" s="55" t="s">
        <v>438</v>
      </c>
      <c r="G70" s="38" t="s">
        <v>439</v>
      </c>
      <c r="H70" s="61">
        <v>1000</v>
      </c>
      <c r="I70" s="61" t="s">
        <v>439</v>
      </c>
      <c r="J70" s="38" t="s">
        <v>440</v>
      </c>
      <c r="K70" s="61" t="s">
        <v>441</v>
      </c>
      <c r="L70" s="123" t="s">
        <v>442</v>
      </c>
      <c r="M70" s="63" t="s">
        <v>494</v>
      </c>
      <c r="N70" s="16"/>
      <c r="O70" s="63" t="s">
        <v>443</v>
      </c>
      <c r="P70" s="63" t="s">
        <v>443</v>
      </c>
      <c r="Q70" s="63" t="s">
        <v>444</v>
      </c>
      <c r="R70" s="86" t="s">
        <v>445</v>
      </c>
      <c r="S70" s="38" t="s">
        <v>446</v>
      </c>
      <c r="T70" s="38" t="s">
        <v>447</v>
      </c>
      <c r="U70" s="38" t="s">
        <v>443</v>
      </c>
      <c r="V70" s="38" t="s">
        <v>449</v>
      </c>
      <c r="W70" s="16" t="s">
        <v>444</v>
      </c>
      <c r="X70" s="16"/>
      <c r="Y70" s="57"/>
      <c r="Z70" s="16"/>
      <c r="AA70" s="16"/>
      <c r="AB70" s="16"/>
      <c r="AC70" s="16"/>
      <c r="AD70" s="16"/>
      <c r="AE70" s="16"/>
      <c r="AF70" s="16"/>
      <c r="AG70" s="16"/>
      <c r="AH70" s="16"/>
      <c r="AI70" s="16"/>
      <c r="AJ70" s="63">
        <v>225.13226399999999</v>
      </c>
      <c r="AK70" s="16"/>
      <c r="AL70" s="16"/>
      <c r="AM70" s="40">
        <v>0.94854588815201735</v>
      </c>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row>
    <row r="71" spans="1:63">
      <c r="A71" s="124" t="s">
        <v>450</v>
      </c>
      <c r="B71" s="125" t="s">
        <v>451</v>
      </c>
      <c r="C71" s="126" t="s">
        <v>452</v>
      </c>
      <c r="D71" s="125" t="s">
        <v>453</v>
      </c>
      <c r="E71" s="126" t="s">
        <v>454</v>
      </c>
      <c r="F71" s="127" t="s">
        <v>455</v>
      </c>
      <c r="G71" s="125" t="s">
        <v>456</v>
      </c>
      <c r="H71" s="125" t="s">
        <v>457</v>
      </c>
      <c r="I71" s="126" t="s">
        <v>458</v>
      </c>
      <c r="J71" s="125" t="s">
        <v>459</v>
      </c>
      <c r="K71" s="125" t="s">
        <v>460</v>
      </c>
      <c r="L71" s="128" t="s">
        <v>461</v>
      </c>
      <c r="M71" s="129" t="s">
        <v>462</v>
      </c>
      <c r="N71" s="129" t="s">
        <v>463</v>
      </c>
      <c r="O71" s="119" t="s">
        <v>464</v>
      </c>
      <c r="P71" s="119" t="s">
        <v>465</v>
      </c>
      <c r="Q71" s="128" t="s">
        <v>367</v>
      </c>
      <c r="R71" s="119" t="s">
        <v>466</v>
      </c>
      <c r="S71" s="127" t="s">
        <v>467</v>
      </c>
      <c r="T71" s="127" t="s">
        <v>468</v>
      </c>
      <c r="U71" s="125" t="s">
        <v>469</v>
      </c>
      <c r="V71" s="125" t="s">
        <v>470</v>
      </c>
      <c r="W71" s="125" t="s">
        <v>471</v>
      </c>
      <c r="X71" s="125" t="s">
        <v>472</v>
      </c>
      <c r="Y71" s="125" t="s">
        <v>473</v>
      </c>
      <c r="Z71" s="125" t="s">
        <v>474</v>
      </c>
      <c r="AA71" s="125" t="s">
        <v>475</v>
      </c>
      <c r="AB71" s="126" t="s">
        <v>476</v>
      </c>
      <c r="AC71" s="125" t="s">
        <v>477</v>
      </c>
      <c r="AD71" s="125" t="s">
        <v>478</v>
      </c>
      <c r="AE71" s="125" t="s">
        <v>495</v>
      </c>
      <c r="AF71" s="125" t="s">
        <v>496</v>
      </c>
      <c r="AG71" s="16"/>
      <c r="AH71" s="16"/>
      <c r="AI71" s="16"/>
      <c r="AJ71" s="63">
        <v>231.24775</v>
      </c>
      <c r="AK71" s="16"/>
      <c r="AL71" s="16"/>
      <c r="AM71" s="40">
        <v>0.94884886945456726</v>
      </c>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row>
    <row r="72" spans="1:63">
      <c r="A72" s="130"/>
      <c r="B72" s="131">
        <v>85</v>
      </c>
      <c r="C72" s="72">
        <v>24.1</v>
      </c>
      <c r="D72" s="131" t="s">
        <v>481</v>
      </c>
      <c r="E72" s="131">
        <v>100.52</v>
      </c>
      <c r="F72" s="131">
        <v>85.38</v>
      </c>
      <c r="G72" s="131">
        <v>24.13</v>
      </c>
      <c r="H72" s="131">
        <v>0.08</v>
      </c>
      <c r="I72" s="72">
        <v>87.22</v>
      </c>
      <c r="J72" s="131">
        <v>3086</v>
      </c>
      <c r="K72" s="169"/>
      <c r="L72" s="132">
        <f t="shared" ref="L72:L118" si="14">(J72/1000)*1/(2*PI()*0.0000000224*I72*1000)</f>
        <v>251.39228919357708</v>
      </c>
      <c r="M72" s="133">
        <f t="shared" ref="M72:M118" si="15">(0.00561673546297382+ 0.406460306032157*H72
    -0.0000254657386682608*H72*H72)*1000</f>
        <v>38.1333969648189</v>
      </c>
      <c r="N72" s="100">
        <f t="shared" ref="N72:N118" si="16">E72*F72/1000</f>
        <v>8.5823975999999984</v>
      </c>
      <c r="O72" s="100">
        <f t="shared" ref="O72:O118" si="17">M72*G72/1000</f>
        <v>0.92015886876108</v>
      </c>
      <c r="P72" s="170">
        <f t="shared" ref="P72:P118" si="18">N72-O72</f>
        <v>7.6622387312389186</v>
      </c>
      <c r="Q72" s="121">
        <f t="shared" ref="Q72:Q118" si="19">O72/N72</f>
        <v>0.10721466327324199</v>
      </c>
      <c r="R72" s="103">
        <f t="shared" ref="R72:R118" si="20">28/2*(1/((E72/G72)*0.5))</f>
        <v>6.7214484679665736</v>
      </c>
      <c r="S72" s="130"/>
      <c r="T72" s="130"/>
      <c r="U72" s="130"/>
      <c r="V72" s="130"/>
      <c r="W72" s="130"/>
      <c r="X72" s="130"/>
      <c r="Y72" s="130"/>
      <c r="Z72" s="130"/>
      <c r="AA72" s="130"/>
      <c r="AB72" s="130"/>
      <c r="AC72" s="130"/>
      <c r="AD72" s="130"/>
      <c r="AE72" s="130"/>
      <c r="AF72" s="16"/>
      <c r="AG72" s="16"/>
      <c r="AH72" s="16"/>
      <c r="AI72" s="16"/>
      <c r="AJ72" s="63">
        <v>10.738520000000001</v>
      </c>
      <c r="AK72" s="16"/>
      <c r="AL72" s="16"/>
      <c r="AM72" s="16"/>
      <c r="AN72" s="114">
        <v>9.474236085064848E-2</v>
      </c>
      <c r="AO72" s="16"/>
      <c r="AP72" s="16"/>
      <c r="AQ72" s="16"/>
      <c r="AR72" s="16"/>
      <c r="AS72" s="16"/>
      <c r="AT72" s="16"/>
      <c r="AU72" s="16"/>
      <c r="AV72" s="16"/>
      <c r="AW72" s="16"/>
      <c r="AX72" s="16"/>
      <c r="AY72" s="16"/>
      <c r="AZ72" s="16"/>
      <c r="BA72" s="16"/>
      <c r="BB72" s="16"/>
      <c r="BC72" s="16"/>
      <c r="BD72" s="16"/>
      <c r="BE72" s="16"/>
      <c r="BF72" s="16"/>
      <c r="BG72" s="16"/>
      <c r="BH72" s="16"/>
      <c r="BI72" s="16"/>
      <c r="BJ72" s="16"/>
      <c r="BK72" s="16"/>
    </row>
    <row r="73" spans="1:63">
      <c r="A73" s="16" t="s">
        <v>536</v>
      </c>
      <c r="B73" s="38">
        <v>85</v>
      </c>
      <c r="C73" s="61">
        <v>24.1</v>
      </c>
      <c r="D73" s="38" t="s">
        <v>481</v>
      </c>
      <c r="E73" s="38">
        <v>100.64</v>
      </c>
      <c r="F73" s="38">
        <v>234.9</v>
      </c>
      <c r="G73" s="38">
        <v>24.13</v>
      </c>
      <c r="H73" s="38">
        <v>1.48</v>
      </c>
      <c r="I73" s="61">
        <v>87.04</v>
      </c>
      <c r="J73" s="38">
        <v>3140</v>
      </c>
      <c r="K73" s="55"/>
      <c r="L73" s="135">
        <f t="shared" si="14"/>
        <v>256.32022700387722</v>
      </c>
      <c r="M73" s="39">
        <f t="shared" si="15"/>
        <v>607.12220823658708</v>
      </c>
      <c r="N73" s="63">
        <f t="shared" si="16"/>
        <v>23.640335999999998</v>
      </c>
      <c r="O73" s="63">
        <f t="shared" si="17"/>
        <v>14.649858884748847</v>
      </c>
      <c r="P73" s="153">
        <f t="shared" si="18"/>
        <v>8.9904771152511511</v>
      </c>
      <c r="Q73" s="114">
        <f t="shared" si="19"/>
        <v>0.61969757471927844</v>
      </c>
      <c r="R73" s="106">
        <f t="shared" si="20"/>
        <v>6.7134340222575517</v>
      </c>
      <c r="S73" s="16"/>
      <c r="T73" s="16"/>
      <c r="U73" s="16"/>
      <c r="V73" s="16"/>
      <c r="W73" s="16"/>
      <c r="X73" s="16"/>
      <c r="Y73" s="16"/>
      <c r="Z73" s="16"/>
      <c r="AA73" s="16"/>
      <c r="AB73" s="16"/>
      <c r="AC73" s="16"/>
      <c r="AD73" s="16"/>
      <c r="AE73" s="16"/>
      <c r="AF73" s="16"/>
      <c r="AG73" s="16"/>
      <c r="AH73" s="16"/>
      <c r="AI73" s="16"/>
      <c r="AJ73" s="63">
        <v>24.674633</v>
      </c>
      <c r="AK73" s="16"/>
      <c r="AL73" s="16"/>
      <c r="AM73" s="16"/>
      <c r="AN73" s="114">
        <v>0.60539288439896688</v>
      </c>
      <c r="AO73" s="16"/>
      <c r="AP73" s="16"/>
      <c r="AQ73" s="16"/>
      <c r="AR73" s="16"/>
      <c r="AS73" s="16"/>
      <c r="AT73" s="16"/>
      <c r="AU73" s="16"/>
      <c r="AV73" s="16"/>
      <c r="AW73" s="16"/>
      <c r="AX73" s="16"/>
      <c r="AY73" s="16"/>
      <c r="AZ73" s="16"/>
      <c r="BA73" s="16"/>
      <c r="BB73" s="16"/>
      <c r="BC73" s="16"/>
      <c r="BD73" s="16"/>
      <c r="BE73" s="16"/>
      <c r="BF73" s="16"/>
      <c r="BG73" s="16"/>
      <c r="BH73" s="16"/>
      <c r="BI73" s="16"/>
      <c r="BJ73" s="16"/>
      <c r="BK73" s="16"/>
    </row>
    <row r="74" spans="1:63">
      <c r="A74" s="16" t="s">
        <v>537</v>
      </c>
      <c r="B74" s="38">
        <v>85</v>
      </c>
      <c r="C74" s="61">
        <v>24.1</v>
      </c>
      <c r="D74" s="38" t="s">
        <v>481</v>
      </c>
      <c r="E74" s="38">
        <v>100.61</v>
      </c>
      <c r="F74" s="38">
        <v>372.9</v>
      </c>
      <c r="G74" s="38">
        <v>24.13</v>
      </c>
      <c r="H74" s="38">
        <v>2.88</v>
      </c>
      <c r="I74" s="61">
        <v>87.04</v>
      </c>
      <c r="J74" s="38">
        <v>3242</v>
      </c>
      <c r="K74" s="55"/>
      <c r="L74" s="135">
        <f t="shared" si="14"/>
        <v>264.64655284922605</v>
      </c>
      <c r="M74" s="39">
        <f t="shared" si="15"/>
        <v>1176.0111938127759</v>
      </c>
      <c r="N74" s="63">
        <f t="shared" si="16"/>
        <v>37.517468999999998</v>
      </c>
      <c r="O74" s="63">
        <f t="shared" si="17"/>
        <v>28.377150106702281</v>
      </c>
      <c r="P74" s="171">
        <f t="shared" si="18"/>
        <v>9.1403188932977173</v>
      </c>
      <c r="Q74" s="114">
        <f t="shared" si="19"/>
        <v>0.75637165467378098</v>
      </c>
      <c r="R74" s="106">
        <f t="shared" si="20"/>
        <v>6.7154358413676576</v>
      </c>
      <c r="S74" s="16"/>
      <c r="T74" s="16"/>
      <c r="U74" s="16"/>
      <c r="V74" s="16"/>
      <c r="W74" s="16"/>
      <c r="X74" s="16"/>
      <c r="Y74" s="16"/>
      <c r="Z74" s="16"/>
      <c r="AA74" s="16"/>
      <c r="AB74" s="16"/>
      <c r="AC74" s="16"/>
      <c r="AD74" s="16"/>
      <c r="AE74" s="16"/>
      <c r="AF74" s="16"/>
      <c r="AG74" s="16"/>
      <c r="AH74" s="16"/>
      <c r="AI74" s="16"/>
      <c r="AJ74" s="63">
        <v>38.646299999999997</v>
      </c>
      <c r="AK74" s="16"/>
      <c r="AL74" s="16"/>
      <c r="AM74" s="16"/>
      <c r="AN74" s="114">
        <v>0.74411781712155922</v>
      </c>
      <c r="AO74" s="16"/>
      <c r="AP74" s="16"/>
      <c r="AQ74" s="16"/>
      <c r="AR74" s="16"/>
      <c r="AS74" s="16"/>
      <c r="AT74" s="16"/>
      <c r="AU74" s="16"/>
      <c r="AV74" s="16"/>
      <c r="AW74" s="16"/>
      <c r="AX74" s="16"/>
      <c r="AY74" s="16"/>
      <c r="AZ74" s="16"/>
      <c r="BA74" s="16"/>
      <c r="BB74" s="16"/>
      <c r="BC74" s="16"/>
      <c r="BD74" s="16"/>
      <c r="BE74" s="16"/>
      <c r="BF74" s="16"/>
      <c r="BG74" s="16"/>
      <c r="BH74" s="16"/>
      <c r="BI74" s="16"/>
      <c r="BJ74" s="16"/>
      <c r="BK74" s="16"/>
    </row>
    <row r="75" spans="1:63">
      <c r="A75" s="16"/>
      <c r="B75" s="38">
        <v>85</v>
      </c>
      <c r="C75" s="61">
        <v>24.1</v>
      </c>
      <c r="D75" s="38" t="s">
        <v>481</v>
      </c>
      <c r="E75" s="38">
        <v>100.59</v>
      </c>
      <c r="F75" s="38">
        <v>512.1</v>
      </c>
      <c r="G75" s="38">
        <v>24.13</v>
      </c>
      <c r="H75" s="38">
        <v>4.3099999999999996</v>
      </c>
      <c r="I75" s="61">
        <v>87.04</v>
      </c>
      <c r="J75" s="38">
        <v>3277</v>
      </c>
      <c r="K75" s="55"/>
      <c r="L75" s="135">
        <f t="shared" si="14"/>
        <v>267.50362544321837</v>
      </c>
      <c r="M75" s="39">
        <f t="shared" si="15"/>
        <v>1756.9876003534948</v>
      </c>
      <c r="N75" s="63">
        <f t="shared" si="16"/>
        <v>51.512139000000005</v>
      </c>
      <c r="O75" s="63">
        <f t="shared" si="17"/>
        <v>42.396110796529825</v>
      </c>
      <c r="P75" s="171">
        <f t="shared" si="18"/>
        <v>9.1160282034701794</v>
      </c>
      <c r="Q75" s="114">
        <f t="shared" si="19"/>
        <v>0.82303145665393207</v>
      </c>
      <c r="R75" s="106">
        <f t="shared" si="20"/>
        <v>6.7167710508002774</v>
      </c>
      <c r="S75" s="16"/>
      <c r="T75" s="16"/>
      <c r="U75" s="16"/>
      <c r="V75" s="16"/>
      <c r="W75" s="16"/>
      <c r="X75" s="16"/>
      <c r="Y75" s="16"/>
      <c r="Z75" s="16"/>
      <c r="AA75" s="16"/>
      <c r="AB75" s="16"/>
      <c r="AC75" s="16"/>
      <c r="AD75" s="16"/>
      <c r="AE75" s="16"/>
      <c r="AF75" s="16"/>
      <c r="AG75" s="16"/>
      <c r="AH75" s="16"/>
      <c r="AI75" s="16"/>
      <c r="AJ75" s="63">
        <v>52.952573999999998</v>
      </c>
      <c r="AK75" s="16"/>
      <c r="AL75" s="16"/>
      <c r="AM75" s="16"/>
      <c r="AN75" s="114">
        <v>0.81141382064918088</v>
      </c>
      <c r="AO75" s="16"/>
      <c r="AP75" s="16"/>
      <c r="AQ75" s="16"/>
      <c r="AR75" s="16"/>
      <c r="AS75" s="16"/>
      <c r="AT75" s="16"/>
      <c r="AU75" s="16"/>
      <c r="AV75" s="16"/>
      <c r="AW75" s="16"/>
      <c r="AX75" s="16"/>
      <c r="AY75" s="16"/>
      <c r="AZ75" s="16"/>
      <c r="BA75" s="16"/>
      <c r="BB75" s="16"/>
      <c r="BC75" s="16"/>
      <c r="BD75" s="16"/>
      <c r="BE75" s="16"/>
      <c r="BF75" s="16"/>
      <c r="BG75" s="16"/>
      <c r="BH75" s="16"/>
      <c r="BI75" s="16"/>
      <c r="BJ75" s="16"/>
      <c r="BK75" s="16"/>
    </row>
    <row r="76" spans="1:63">
      <c r="A76" s="16" t="s">
        <v>538</v>
      </c>
      <c r="B76" s="38">
        <v>85</v>
      </c>
      <c r="C76" s="61">
        <v>24.1</v>
      </c>
      <c r="D76" s="38" t="s">
        <v>481</v>
      </c>
      <c r="E76" s="38">
        <v>100.52</v>
      </c>
      <c r="F76" s="38">
        <v>655.29999999999995</v>
      </c>
      <c r="G76" s="38">
        <v>24.13</v>
      </c>
      <c r="H76" s="38">
        <v>5.76</v>
      </c>
      <c r="I76" s="61">
        <v>86.96</v>
      </c>
      <c r="J76" s="38">
        <v>3308</v>
      </c>
      <c r="K76" s="55"/>
      <c r="L76" s="135">
        <f t="shared" si="14"/>
        <v>270.28259695959849</v>
      </c>
      <c r="M76" s="39">
        <f t="shared" si="15"/>
        <v>2345.9832061169577</v>
      </c>
      <c r="N76" s="63">
        <f t="shared" si="16"/>
        <v>65.870756</v>
      </c>
      <c r="O76" s="63">
        <f t="shared" si="17"/>
        <v>56.608574763602185</v>
      </c>
      <c r="P76" s="172">
        <f t="shared" si="18"/>
        <v>9.2621812363978151</v>
      </c>
      <c r="Q76" s="114">
        <f t="shared" si="19"/>
        <v>0.8593885693918889</v>
      </c>
      <c r="R76" s="106">
        <f t="shared" si="20"/>
        <v>6.7214484679665736</v>
      </c>
      <c r="S76" s="16"/>
      <c r="T76" s="16"/>
      <c r="U76" s="16"/>
      <c r="V76" s="16"/>
      <c r="W76" s="16"/>
      <c r="X76" s="16"/>
      <c r="Y76" s="16"/>
      <c r="Z76" s="16"/>
      <c r="AA76" s="16"/>
      <c r="AB76" s="16"/>
      <c r="AC76" s="16"/>
      <c r="AD76" s="16"/>
      <c r="AE76" s="16"/>
      <c r="AF76" s="16"/>
      <c r="AG76" s="16"/>
      <c r="AH76" s="16"/>
      <c r="AI76" s="16"/>
      <c r="AJ76" s="63">
        <v>82.427019999999999</v>
      </c>
      <c r="AK76" s="16"/>
      <c r="AL76" s="16"/>
      <c r="AM76" s="16"/>
      <c r="AN76" s="114">
        <v>0.87580876319951995</v>
      </c>
      <c r="AO76" s="16"/>
      <c r="AP76" s="16"/>
      <c r="AQ76" s="16"/>
      <c r="AR76" s="16"/>
      <c r="AS76" s="16"/>
      <c r="AT76" s="16"/>
      <c r="AU76" s="16"/>
      <c r="AV76" s="16"/>
      <c r="AW76" s="16"/>
      <c r="AX76" s="16"/>
      <c r="AY76" s="16"/>
      <c r="AZ76" s="16"/>
      <c r="BA76" s="16"/>
      <c r="BB76" s="16"/>
      <c r="BC76" s="16"/>
      <c r="BD76" s="16"/>
      <c r="BE76" s="16"/>
      <c r="BF76" s="16"/>
      <c r="BG76" s="16"/>
      <c r="BH76" s="16"/>
      <c r="BI76" s="16"/>
      <c r="BJ76" s="16"/>
      <c r="BK76" s="16"/>
    </row>
    <row r="77" spans="1:63">
      <c r="A77" s="16" t="s">
        <v>539</v>
      </c>
      <c r="B77" s="38">
        <v>85</v>
      </c>
      <c r="C77" s="61">
        <v>24.1</v>
      </c>
      <c r="D77" s="38" t="s">
        <v>481</v>
      </c>
      <c r="E77" s="38">
        <v>100.48</v>
      </c>
      <c r="F77" s="38">
        <v>798.5</v>
      </c>
      <c r="G77" s="38">
        <v>24.13</v>
      </c>
      <c r="H77" s="38">
        <v>7.23</v>
      </c>
      <c r="I77" s="61">
        <v>86.83</v>
      </c>
      <c r="J77" s="38">
        <v>3333</v>
      </c>
      <c r="K77" s="55"/>
      <c r="L77" s="135">
        <f t="shared" si="14"/>
        <v>272.73295999432759</v>
      </c>
      <c r="M77" s="39">
        <f t="shared" si="15"/>
        <v>2942.9935800646367</v>
      </c>
      <c r="N77" s="63">
        <f t="shared" si="16"/>
        <v>80.233279999999993</v>
      </c>
      <c r="O77" s="63">
        <f t="shared" si="17"/>
        <v>71.014435086959679</v>
      </c>
      <c r="P77" s="172">
        <f t="shared" si="18"/>
        <v>9.2188449130403143</v>
      </c>
      <c r="Q77" s="114">
        <f t="shared" si="19"/>
        <v>0.88509948847859243</v>
      </c>
      <c r="R77" s="106">
        <f t="shared" si="20"/>
        <v>6.7241242038216553</v>
      </c>
      <c r="S77" s="16"/>
      <c r="T77" s="16"/>
      <c r="U77" s="16"/>
      <c r="V77" s="16"/>
      <c r="W77" s="16"/>
      <c r="X77" s="16"/>
      <c r="Y77" s="16"/>
      <c r="Z77" s="16"/>
      <c r="AA77" s="16"/>
      <c r="AB77" s="16"/>
      <c r="AC77" s="16"/>
      <c r="AD77" s="16"/>
      <c r="AE77" s="16"/>
      <c r="AF77" s="16"/>
      <c r="AG77" s="16"/>
      <c r="AH77" s="16"/>
      <c r="AI77" s="16"/>
      <c r="AJ77" s="63">
        <v>127.06637400000001</v>
      </c>
      <c r="AK77" s="16"/>
      <c r="AL77" s="16"/>
      <c r="AM77" s="16"/>
      <c r="AN77" s="173">
        <v>0.91890850397955781</v>
      </c>
      <c r="AO77" s="16"/>
      <c r="AP77" s="16"/>
      <c r="AQ77" s="16"/>
      <c r="AR77" s="16"/>
      <c r="AS77" s="16"/>
      <c r="AT77" s="16"/>
      <c r="AU77" s="16"/>
      <c r="AV77" s="16"/>
      <c r="AW77" s="16"/>
      <c r="AX77" s="16"/>
      <c r="AY77" s="16"/>
      <c r="AZ77" s="16"/>
      <c r="BA77" s="16"/>
      <c r="BB77" s="16"/>
      <c r="BC77" s="16"/>
      <c r="BD77" s="16"/>
      <c r="BE77" s="16"/>
      <c r="BF77" s="16"/>
      <c r="BG77" s="16"/>
      <c r="BH77" s="16"/>
      <c r="BI77" s="16"/>
      <c r="BJ77" s="16"/>
      <c r="BK77" s="16"/>
    </row>
    <row r="78" spans="1:63">
      <c r="A78" s="16" t="s">
        <v>540</v>
      </c>
      <c r="B78" s="38">
        <v>85</v>
      </c>
      <c r="C78" s="61">
        <v>24.1</v>
      </c>
      <c r="D78" s="38" t="s">
        <v>481</v>
      </c>
      <c r="E78" s="38">
        <v>100.42</v>
      </c>
      <c r="F78" s="38">
        <v>963.8</v>
      </c>
      <c r="G78" s="38">
        <v>24.13</v>
      </c>
      <c r="H78" s="38">
        <v>8.7200000000000006</v>
      </c>
      <c r="I78" s="61">
        <v>86.44</v>
      </c>
      <c r="J78" s="38">
        <v>3393</v>
      </c>
      <c r="K78" s="55"/>
      <c r="L78" s="135">
        <f t="shared" si="14"/>
        <v>278.89531235063998</v>
      </c>
      <c r="M78" s="39">
        <f t="shared" si="15"/>
        <v>3548.0142300402308</v>
      </c>
      <c r="N78" s="63">
        <f t="shared" si="16"/>
        <v>96.784796</v>
      </c>
      <c r="O78" s="63">
        <f t="shared" si="17"/>
        <v>85.613583370870771</v>
      </c>
      <c r="P78" s="174">
        <f t="shared" si="18"/>
        <v>11.171212629129229</v>
      </c>
      <c r="Q78" s="114">
        <f t="shared" si="19"/>
        <v>0.88457678177955523</v>
      </c>
      <c r="R78" s="106">
        <f t="shared" si="20"/>
        <v>6.7281418044214298</v>
      </c>
      <c r="S78" s="16"/>
      <c r="T78" s="16"/>
      <c r="U78" s="16"/>
      <c r="V78" s="16"/>
      <c r="W78" s="16"/>
      <c r="X78" s="16"/>
      <c r="Y78" s="16"/>
      <c r="Z78" s="16"/>
      <c r="AA78" s="16"/>
      <c r="AB78" s="16"/>
      <c r="AC78" s="16"/>
      <c r="AD78" s="16"/>
      <c r="AE78" s="16"/>
      <c r="AF78" s="16"/>
      <c r="AG78" s="16"/>
      <c r="AH78" s="16"/>
      <c r="AI78" s="16"/>
      <c r="AJ78" s="63">
        <v>158.26551000000001</v>
      </c>
      <c r="AK78" s="16"/>
      <c r="AL78" s="16"/>
      <c r="AM78" s="16"/>
      <c r="AN78" s="175">
        <v>0.9348848303990086</v>
      </c>
      <c r="AO78" s="16"/>
      <c r="AP78" s="16"/>
      <c r="AQ78" s="16"/>
      <c r="AR78" s="16"/>
      <c r="AS78" s="16"/>
      <c r="AT78" s="16"/>
      <c r="AU78" s="16"/>
      <c r="AV78" s="16"/>
      <c r="AW78" s="16"/>
      <c r="AX78" s="16"/>
      <c r="AY78" s="16"/>
      <c r="AZ78" s="16"/>
      <c r="BA78" s="16"/>
      <c r="BB78" s="16"/>
      <c r="BC78" s="16"/>
      <c r="BD78" s="16"/>
      <c r="BE78" s="16"/>
      <c r="BF78" s="16"/>
      <c r="BG78" s="16"/>
      <c r="BH78" s="16"/>
      <c r="BI78" s="16"/>
      <c r="BJ78" s="16"/>
      <c r="BK78" s="16"/>
    </row>
    <row r="79" spans="1:63">
      <c r="A79" s="16" t="s">
        <v>541</v>
      </c>
      <c r="B79" s="38">
        <v>85</v>
      </c>
      <c r="C79" s="61">
        <v>24.1</v>
      </c>
      <c r="D79" s="38" t="s">
        <v>481</v>
      </c>
      <c r="E79" s="38">
        <v>100.37</v>
      </c>
      <c r="F79" s="38">
        <v>1121</v>
      </c>
      <c r="G79" s="38">
        <v>24.14</v>
      </c>
      <c r="H79" s="38">
        <v>10.25</v>
      </c>
      <c r="I79" s="61">
        <v>86.09</v>
      </c>
      <c r="J79" s="38">
        <v>3430</v>
      </c>
      <c r="K79" s="55"/>
      <c r="L79" s="135">
        <f t="shared" si="14"/>
        <v>283.08282798172229</v>
      </c>
      <c r="M79" s="39">
        <f t="shared" si="15"/>
        <v>4169.1593781237498</v>
      </c>
      <c r="N79" s="63">
        <f t="shared" si="16"/>
        <v>112.51477</v>
      </c>
      <c r="O79" s="63">
        <f t="shared" si="17"/>
        <v>100.64350738790732</v>
      </c>
      <c r="P79" s="176">
        <f t="shared" si="18"/>
        <v>11.871262612092679</v>
      </c>
      <c r="Q79" s="114">
        <f t="shared" si="19"/>
        <v>0.89449151776168867</v>
      </c>
      <c r="R79" s="106">
        <f t="shared" si="20"/>
        <v>6.7342831523363547</v>
      </c>
      <c r="S79" s="16"/>
      <c r="T79" s="16"/>
      <c r="U79" s="16"/>
      <c r="V79" s="16"/>
      <c r="W79" s="16"/>
      <c r="X79" s="16"/>
      <c r="Y79" s="16"/>
      <c r="Z79" s="16"/>
      <c r="AA79" s="16"/>
      <c r="AB79" s="16"/>
      <c r="AC79" s="16"/>
      <c r="AD79" s="16"/>
      <c r="AE79" s="16"/>
      <c r="AF79" s="16"/>
      <c r="AG79" s="16"/>
      <c r="AH79" s="16"/>
      <c r="AI79" s="16"/>
      <c r="AJ79" s="63">
        <v>207.36680699999999</v>
      </c>
      <c r="AK79" s="16"/>
      <c r="AL79" s="16"/>
      <c r="AM79" s="16"/>
      <c r="AN79" s="177">
        <v>0.94722173584253044</v>
      </c>
      <c r="AO79" s="16"/>
      <c r="AP79" s="16"/>
      <c r="AQ79" s="16"/>
      <c r="AR79" s="16"/>
      <c r="AS79" s="16"/>
      <c r="AT79" s="16"/>
      <c r="AU79" s="16"/>
      <c r="AV79" s="16"/>
      <c r="AW79" s="16"/>
      <c r="AX79" s="16"/>
      <c r="AY79" s="16"/>
      <c r="AZ79" s="16"/>
      <c r="BA79" s="16"/>
      <c r="BB79" s="16"/>
      <c r="BC79" s="16"/>
      <c r="BD79" s="16"/>
      <c r="BE79" s="16"/>
      <c r="BF79" s="16"/>
      <c r="BG79" s="16"/>
      <c r="BH79" s="16"/>
      <c r="BI79" s="16"/>
      <c r="BJ79" s="16"/>
      <c r="BK79" s="16"/>
    </row>
    <row r="80" spans="1:63">
      <c r="A80" s="16" t="s">
        <v>539</v>
      </c>
      <c r="B80" s="38">
        <v>85</v>
      </c>
      <c r="C80" s="61">
        <v>24.1</v>
      </c>
      <c r="D80" s="38" t="s">
        <v>481</v>
      </c>
      <c r="E80" s="38">
        <v>100.36</v>
      </c>
      <c r="F80" s="38">
        <v>1254.5999999999999</v>
      </c>
      <c r="G80" s="38">
        <v>24.14</v>
      </c>
      <c r="H80" s="38">
        <v>11.8</v>
      </c>
      <c r="I80" s="61">
        <v>85.72</v>
      </c>
      <c r="J80" s="38">
        <v>3380</v>
      </c>
      <c r="K80" s="55"/>
      <c r="L80" s="135">
        <f t="shared" si="14"/>
        <v>280.1603370455544</v>
      </c>
      <c r="M80" s="39">
        <f t="shared" si="15"/>
        <v>4798.3024971902578</v>
      </c>
      <c r="N80" s="63">
        <f t="shared" si="16"/>
        <v>125.91165599999999</v>
      </c>
      <c r="O80" s="63">
        <f t="shared" si="17"/>
        <v>115.83102228217282</v>
      </c>
      <c r="P80" s="178">
        <f t="shared" si="18"/>
        <v>10.080633717827169</v>
      </c>
      <c r="Q80" s="179">
        <f t="shared" si="19"/>
        <v>0.91993883618028838</v>
      </c>
      <c r="R80" s="106">
        <f t="shared" si="20"/>
        <v>6.7349541650059788</v>
      </c>
      <c r="S80" s="16"/>
      <c r="T80" s="16"/>
      <c r="U80" s="16"/>
      <c r="V80" s="16"/>
      <c r="W80" s="16"/>
      <c r="X80" s="16"/>
      <c r="Y80" s="16"/>
      <c r="Z80" s="16"/>
      <c r="AA80" s="16"/>
      <c r="AB80" s="16"/>
      <c r="AC80" s="16"/>
      <c r="AD80" s="16"/>
      <c r="AE80" s="16"/>
      <c r="AF80" s="16"/>
      <c r="AG80" s="16"/>
      <c r="AH80" s="16"/>
      <c r="AI80" s="16"/>
      <c r="AJ80" s="63">
        <v>240.04638</v>
      </c>
      <c r="AK80" s="16"/>
      <c r="AL80" s="16"/>
      <c r="AM80" s="16"/>
      <c r="AN80" s="180">
        <v>0.95279014599270795</v>
      </c>
      <c r="AO80" s="16"/>
      <c r="AP80" s="16"/>
      <c r="AQ80" s="16"/>
      <c r="AR80" s="16"/>
      <c r="AS80" s="16"/>
      <c r="AT80" s="16"/>
      <c r="AU80" s="16"/>
      <c r="AV80" s="16"/>
      <c r="AW80" s="16"/>
      <c r="AX80" s="16"/>
      <c r="AY80" s="16"/>
      <c r="AZ80" s="16"/>
      <c r="BA80" s="16"/>
      <c r="BB80" s="16"/>
      <c r="BC80" s="16"/>
      <c r="BD80" s="16"/>
      <c r="BE80" s="16"/>
      <c r="BF80" s="16"/>
      <c r="BG80" s="16"/>
      <c r="BH80" s="16"/>
      <c r="BI80" s="16"/>
      <c r="BJ80" s="16"/>
      <c r="BK80" s="16"/>
    </row>
    <row r="81" spans="1:63">
      <c r="A81" s="16" t="s">
        <v>542</v>
      </c>
      <c r="B81" s="38">
        <v>85</v>
      </c>
      <c r="C81" s="61">
        <v>24.1</v>
      </c>
      <c r="D81" s="38" t="s">
        <v>481</v>
      </c>
      <c r="E81" s="38">
        <v>100.33</v>
      </c>
      <c r="F81" s="38">
        <v>1410.5</v>
      </c>
      <c r="G81" s="38">
        <v>24.14</v>
      </c>
      <c r="H81" s="38">
        <v>13.37</v>
      </c>
      <c r="I81" s="61">
        <v>85.26</v>
      </c>
      <c r="J81" s="38">
        <v>3407</v>
      </c>
      <c r="K81" s="55"/>
      <c r="L81" s="135">
        <f t="shared" si="14"/>
        <v>283.92191694841375</v>
      </c>
      <c r="M81" s="39">
        <f t="shared" si="15"/>
        <v>5435.4388506123641</v>
      </c>
      <c r="N81" s="63">
        <f t="shared" si="16"/>
        <v>141.51546500000001</v>
      </c>
      <c r="O81" s="63">
        <f t="shared" si="17"/>
        <v>131.21149385378249</v>
      </c>
      <c r="P81" s="181">
        <f t="shared" si="18"/>
        <v>10.303971146217521</v>
      </c>
      <c r="Q81" s="182">
        <f t="shared" si="19"/>
        <v>0.9271883737496992</v>
      </c>
      <c r="R81" s="106">
        <f t="shared" si="20"/>
        <v>6.7369680055815806</v>
      </c>
      <c r="S81" s="16"/>
      <c r="T81" s="16"/>
      <c r="U81" s="16"/>
      <c r="V81" s="16"/>
      <c r="W81" s="16"/>
      <c r="X81" s="16"/>
      <c r="Y81" s="16"/>
      <c r="Z81" s="16"/>
      <c r="AA81" s="16"/>
      <c r="AB81" s="16"/>
      <c r="AC81" s="16"/>
      <c r="AD81" s="16"/>
      <c r="AE81" s="16"/>
      <c r="AF81" s="16"/>
      <c r="AG81" s="16"/>
      <c r="AH81" s="16"/>
      <c r="AI81" s="16"/>
      <c r="AJ81" s="63">
        <v>292.45499999999998</v>
      </c>
      <c r="AK81" s="16"/>
      <c r="AL81" s="16"/>
      <c r="AM81" s="16"/>
      <c r="AN81" s="183">
        <v>0.95633860866295717</v>
      </c>
      <c r="AO81" s="16"/>
      <c r="AP81" s="16"/>
      <c r="AQ81" s="16"/>
      <c r="AR81" s="16"/>
      <c r="AS81" s="16"/>
      <c r="AT81" s="16"/>
      <c r="AU81" s="16"/>
      <c r="AV81" s="16"/>
      <c r="AW81" s="16"/>
      <c r="AX81" s="16"/>
      <c r="AY81" s="16"/>
      <c r="AZ81" s="16"/>
      <c r="BA81" s="16"/>
      <c r="BB81" s="16"/>
      <c r="BC81" s="16"/>
      <c r="BD81" s="16"/>
      <c r="BE81" s="16"/>
      <c r="BF81" s="16"/>
      <c r="BG81" s="16"/>
      <c r="BH81" s="16"/>
      <c r="BI81" s="16"/>
      <c r="BJ81" s="16"/>
      <c r="BK81" s="16"/>
    </row>
    <row r="82" spans="1:63">
      <c r="A82" s="139" t="s">
        <v>543</v>
      </c>
      <c r="B82" s="140">
        <v>85</v>
      </c>
      <c r="C82" s="107">
        <v>24.1</v>
      </c>
      <c r="D82" s="140" t="s">
        <v>481</v>
      </c>
      <c r="E82" s="140">
        <v>100.43</v>
      </c>
      <c r="F82" s="140">
        <v>1066.4000000000001</v>
      </c>
      <c r="G82" s="140">
        <v>16.239999999999998</v>
      </c>
      <c r="H82" s="140">
        <v>14.94</v>
      </c>
      <c r="I82" s="107">
        <v>79.87</v>
      </c>
      <c r="J82" s="140">
        <v>2922</v>
      </c>
      <c r="K82" s="184"/>
      <c r="L82" s="141">
        <f t="shared" si="14"/>
        <v>259.93732209624017</v>
      </c>
      <c r="M82" s="142">
        <f t="shared" si="15"/>
        <v>6072.4496630359845</v>
      </c>
      <c r="N82" s="110">
        <f t="shared" si="16"/>
        <v>107.09855200000001</v>
      </c>
      <c r="O82" s="110">
        <f t="shared" si="17"/>
        <v>98.616582527704381</v>
      </c>
      <c r="P82" s="185">
        <f t="shared" si="18"/>
        <v>8.4819694722956314</v>
      </c>
      <c r="Q82" s="186">
        <f t="shared" si="19"/>
        <v>0.92080220214092501</v>
      </c>
      <c r="R82" s="113">
        <f t="shared" si="20"/>
        <v>4.5277307577417103</v>
      </c>
      <c r="S82" s="139"/>
      <c r="T82" s="139"/>
      <c r="U82" s="139"/>
      <c r="V82" s="139"/>
      <c r="W82" s="139"/>
      <c r="X82" s="139"/>
      <c r="Y82" s="139"/>
      <c r="Z82" s="139"/>
      <c r="AA82" s="139"/>
      <c r="AB82" s="139"/>
      <c r="AC82" s="139"/>
      <c r="AD82" s="139"/>
      <c r="AE82" s="139"/>
      <c r="AF82" s="16"/>
      <c r="AG82" s="16"/>
      <c r="AH82" s="16"/>
      <c r="AI82" s="16"/>
      <c r="AJ82" s="63">
        <v>311.08611999999999</v>
      </c>
      <c r="AK82" s="16"/>
      <c r="AL82" s="16"/>
      <c r="AM82" s="16"/>
      <c r="AN82" s="187">
        <v>0.95659375706254923</v>
      </c>
      <c r="AO82" s="16"/>
      <c r="AP82" s="16"/>
      <c r="AQ82" s="16"/>
      <c r="AR82" s="16"/>
      <c r="AS82" s="16"/>
      <c r="AT82" s="16"/>
      <c r="AU82" s="16"/>
      <c r="AV82" s="16"/>
      <c r="AW82" s="16"/>
      <c r="AX82" s="16"/>
      <c r="AY82" s="16"/>
      <c r="AZ82" s="16"/>
      <c r="BA82" s="16"/>
      <c r="BB82" s="16"/>
      <c r="BC82" s="16"/>
      <c r="BD82" s="16"/>
      <c r="BE82" s="16"/>
      <c r="BF82" s="16"/>
      <c r="BG82" s="16"/>
      <c r="BH82" s="16"/>
      <c r="BI82" s="16"/>
      <c r="BJ82" s="16"/>
      <c r="BK82" s="16"/>
    </row>
    <row r="83" spans="1:63">
      <c r="A83" s="16"/>
      <c r="B83" s="38">
        <v>85</v>
      </c>
      <c r="C83" s="61">
        <v>24.1</v>
      </c>
      <c r="D83" s="38" t="s">
        <v>481</v>
      </c>
      <c r="E83" s="38">
        <v>150.57</v>
      </c>
      <c r="F83" s="38">
        <v>55.99</v>
      </c>
      <c r="G83" s="38">
        <v>24.14</v>
      </c>
      <c r="H83" s="38">
        <v>0.08</v>
      </c>
      <c r="I83" s="61">
        <v>91.37</v>
      </c>
      <c r="J83" s="38">
        <v>2989</v>
      </c>
      <c r="K83" s="55"/>
      <c r="L83" s="135">
        <f t="shared" si="14"/>
        <v>232.43118877995821</v>
      </c>
      <c r="M83" s="39">
        <f t="shared" si="15"/>
        <v>38.1333969648189</v>
      </c>
      <c r="N83" s="63">
        <f t="shared" si="16"/>
        <v>8.4304143000000007</v>
      </c>
      <c r="O83" s="63">
        <f t="shared" si="17"/>
        <v>0.92054020273072834</v>
      </c>
      <c r="P83" s="188">
        <f t="shared" si="18"/>
        <v>7.5098740972692726</v>
      </c>
      <c r="Q83" s="114">
        <f t="shared" si="19"/>
        <v>0.10919275968806519</v>
      </c>
      <c r="R83" s="106">
        <f t="shared" si="20"/>
        <v>4.4890748489074852</v>
      </c>
      <c r="S83" s="16"/>
      <c r="T83" s="16"/>
      <c r="U83" s="16"/>
      <c r="V83" s="16"/>
      <c r="W83" s="16"/>
      <c r="X83" s="16"/>
      <c r="Y83" s="16"/>
      <c r="Z83" s="16"/>
      <c r="AA83" s="16"/>
      <c r="AB83" s="16"/>
      <c r="AC83" s="16"/>
      <c r="AD83" s="16"/>
      <c r="AE83" s="16"/>
      <c r="AF83" s="16"/>
      <c r="AG83" s="16"/>
      <c r="AH83" s="16"/>
      <c r="AI83" s="16"/>
      <c r="AJ83" s="63">
        <v>320.61219999999997</v>
      </c>
      <c r="AK83" s="16"/>
      <c r="AL83" s="16"/>
      <c r="AM83" s="16"/>
      <c r="AN83" s="189">
        <v>0.9565346389341487</v>
      </c>
      <c r="AO83" s="16"/>
      <c r="AP83" s="16"/>
      <c r="AQ83" s="16"/>
      <c r="AR83" s="16"/>
      <c r="AS83" s="16"/>
      <c r="AT83" s="16"/>
      <c r="AU83" s="16"/>
      <c r="AV83" s="16"/>
      <c r="AW83" s="16"/>
      <c r="AX83" s="16"/>
      <c r="AY83" s="16"/>
      <c r="AZ83" s="16"/>
      <c r="BA83" s="16"/>
      <c r="BB83" s="16"/>
      <c r="BC83" s="16"/>
      <c r="BD83" s="16"/>
      <c r="BE83" s="16"/>
      <c r="BF83" s="16"/>
      <c r="BG83" s="16"/>
      <c r="BH83" s="16"/>
      <c r="BI83" s="16"/>
      <c r="BJ83" s="16"/>
      <c r="BK83" s="16"/>
    </row>
    <row r="84" spans="1:63">
      <c r="A84" s="16" t="s">
        <v>544</v>
      </c>
      <c r="B84" s="38">
        <v>85</v>
      </c>
      <c r="C84" s="61">
        <v>24.1</v>
      </c>
      <c r="D84" s="38" t="s">
        <v>481</v>
      </c>
      <c r="E84" s="38">
        <v>150.44</v>
      </c>
      <c r="F84" s="38">
        <v>153.31</v>
      </c>
      <c r="G84" s="38">
        <v>24.14</v>
      </c>
      <c r="H84" s="38">
        <v>1.48</v>
      </c>
      <c r="I84" s="61">
        <v>91.02</v>
      </c>
      <c r="J84" s="38">
        <v>3109</v>
      </c>
      <c r="K84" s="55"/>
      <c r="L84" s="135">
        <f t="shared" si="14"/>
        <v>242.69230372872457</v>
      </c>
      <c r="M84" s="39">
        <f t="shared" si="15"/>
        <v>607.12220823658708</v>
      </c>
      <c r="N84" s="63">
        <f t="shared" si="16"/>
        <v>23.063956399999999</v>
      </c>
      <c r="O84" s="63">
        <f t="shared" si="17"/>
        <v>14.655930106831212</v>
      </c>
      <c r="P84" s="190">
        <f t="shared" si="18"/>
        <v>8.4080262931687866</v>
      </c>
      <c r="Q84" s="114">
        <f t="shared" si="19"/>
        <v>0.63544735572042677</v>
      </c>
      <c r="R84" s="106">
        <f t="shared" si="20"/>
        <v>4.4929540015953204</v>
      </c>
      <c r="S84" s="16"/>
      <c r="T84" s="16"/>
      <c r="U84" s="16"/>
      <c r="V84" s="16"/>
      <c r="W84" s="16"/>
      <c r="X84" s="16"/>
      <c r="Y84" s="16"/>
      <c r="Z84" s="16"/>
      <c r="AA84" s="16"/>
      <c r="AB84" s="16"/>
      <c r="AC84" s="16"/>
      <c r="AD84" s="16"/>
      <c r="AE84" s="16"/>
      <c r="AF84" s="16"/>
      <c r="AG84" s="16"/>
      <c r="AH84" s="16"/>
      <c r="AI84" s="16"/>
      <c r="AJ84" s="63">
        <v>325.58183999999994</v>
      </c>
      <c r="AK84" s="16"/>
      <c r="AL84" s="16"/>
      <c r="AM84" s="16"/>
      <c r="AN84" s="187">
        <v>0.95664892405033986</v>
      </c>
      <c r="AO84" s="16"/>
      <c r="AP84" s="16"/>
      <c r="AQ84" s="16"/>
      <c r="AR84" s="16"/>
      <c r="AS84" s="16"/>
      <c r="AT84" s="16"/>
      <c r="AU84" s="16"/>
      <c r="AV84" s="16"/>
      <c r="AW84" s="16"/>
      <c r="AX84" s="16"/>
      <c r="AY84" s="16"/>
      <c r="AZ84" s="16"/>
      <c r="BA84" s="16"/>
      <c r="BB84" s="16"/>
      <c r="BC84" s="16"/>
      <c r="BD84" s="16"/>
      <c r="BE84" s="16"/>
      <c r="BF84" s="16"/>
      <c r="BG84" s="16"/>
      <c r="BH84" s="16"/>
      <c r="BI84" s="16"/>
      <c r="BJ84" s="16"/>
      <c r="BK84" s="16"/>
    </row>
    <row r="85" spans="1:63">
      <c r="A85" s="16"/>
      <c r="B85" s="38">
        <v>85</v>
      </c>
      <c r="C85" s="61">
        <v>24.1</v>
      </c>
      <c r="D85" s="38" t="s">
        <v>481</v>
      </c>
      <c r="E85" s="38">
        <v>150.62</v>
      </c>
      <c r="F85" s="38">
        <v>247</v>
      </c>
      <c r="G85" s="38">
        <v>24.14</v>
      </c>
      <c r="H85" s="38">
        <v>2.88</v>
      </c>
      <c r="I85" s="61">
        <v>91.05</v>
      </c>
      <c r="J85" s="38">
        <v>3148</v>
      </c>
      <c r="K85" s="55"/>
      <c r="L85" s="135">
        <f t="shared" si="14"/>
        <v>245.65572333357187</v>
      </c>
      <c r="M85" s="39">
        <f t="shared" si="15"/>
        <v>1176.0111938127759</v>
      </c>
      <c r="N85" s="63">
        <f t="shared" si="16"/>
        <v>37.203139999999998</v>
      </c>
      <c r="O85" s="63">
        <f t="shared" si="17"/>
        <v>28.388910218640412</v>
      </c>
      <c r="P85" s="155">
        <f t="shared" si="18"/>
        <v>8.814229781359586</v>
      </c>
      <c r="Q85" s="114">
        <f t="shared" si="19"/>
        <v>0.76307833743711995</v>
      </c>
      <c r="R85" s="106">
        <f t="shared" si="20"/>
        <v>4.4875846501128667</v>
      </c>
      <c r="S85" s="16"/>
      <c r="T85" s="16"/>
      <c r="U85" s="16"/>
      <c r="V85" s="16"/>
      <c r="W85" s="16"/>
      <c r="X85" s="16"/>
      <c r="Y85" s="16"/>
      <c r="Z85" s="16"/>
      <c r="AA85" s="16"/>
      <c r="AB85" s="16"/>
      <c r="AC85" s="16"/>
      <c r="AD85" s="16"/>
      <c r="AE85" s="16"/>
      <c r="AF85" s="16"/>
      <c r="AG85" s="16"/>
      <c r="AH85" s="16"/>
      <c r="AI85" s="16"/>
      <c r="AJ85" s="63">
        <v>9.0570900000000005</v>
      </c>
      <c r="AK85" s="16"/>
      <c r="AL85" s="16"/>
      <c r="AM85" s="16"/>
      <c r="AN85" s="152"/>
      <c r="AO85" s="114">
        <v>0.14503082914564494</v>
      </c>
      <c r="AP85" s="16"/>
      <c r="AQ85" s="16"/>
      <c r="AR85" s="16"/>
      <c r="AS85" s="16"/>
      <c r="AT85" s="16"/>
      <c r="AU85" s="16"/>
      <c r="AV85" s="16"/>
      <c r="AW85" s="16"/>
      <c r="AX85" s="16"/>
      <c r="AY85" s="16"/>
      <c r="AZ85" s="16"/>
      <c r="BA85" s="16"/>
      <c r="BB85" s="16"/>
      <c r="BC85" s="16"/>
      <c r="BD85" s="16"/>
      <c r="BE85" s="16"/>
      <c r="BF85" s="16"/>
      <c r="BG85" s="16"/>
      <c r="BH85" s="16"/>
      <c r="BI85" s="16"/>
      <c r="BJ85" s="16"/>
      <c r="BK85" s="16"/>
    </row>
    <row r="86" spans="1:63">
      <c r="A86" s="16"/>
      <c r="B86" s="38">
        <v>85</v>
      </c>
      <c r="C86" s="61">
        <v>24.1</v>
      </c>
      <c r="D86" s="38" t="s">
        <v>481</v>
      </c>
      <c r="E86" s="38">
        <v>150.54</v>
      </c>
      <c r="F86" s="38">
        <v>340.99</v>
      </c>
      <c r="G86" s="38">
        <v>24.14</v>
      </c>
      <c r="H86" s="38">
        <v>4.3</v>
      </c>
      <c r="I86" s="61">
        <v>91.07</v>
      </c>
      <c r="J86" s="38">
        <v>3185</v>
      </c>
      <c r="K86" s="55"/>
      <c r="L86" s="135">
        <f t="shared" si="14"/>
        <v>248.48845361676587</v>
      </c>
      <c r="M86" s="39">
        <f t="shared" si="15"/>
        <v>1752.925189893273</v>
      </c>
      <c r="N86" s="63">
        <f t="shared" si="16"/>
        <v>51.332634599999999</v>
      </c>
      <c r="O86" s="63">
        <f t="shared" si="17"/>
        <v>42.315614084023608</v>
      </c>
      <c r="P86" s="146">
        <f t="shared" si="18"/>
        <v>9.017020515976391</v>
      </c>
      <c r="Q86" s="114">
        <f t="shared" si="19"/>
        <v>0.82434136517169154</v>
      </c>
      <c r="R86" s="106">
        <f t="shared" si="20"/>
        <v>4.4899694433373192</v>
      </c>
      <c r="S86" s="16"/>
      <c r="T86" s="16"/>
      <c r="U86" s="16"/>
      <c r="V86" s="16"/>
      <c r="W86" s="16"/>
      <c r="X86" s="16"/>
      <c r="Y86" s="16"/>
      <c r="Z86" s="16"/>
      <c r="AA86" s="16"/>
      <c r="AB86" s="16"/>
      <c r="AC86" s="16"/>
      <c r="AD86" s="16"/>
      <c r="AE86" s="16"/>
      <c r="AF86" s="16"/>
      <c r="AG86" s="16"/>
      <c r="AH86" s="16"/>
      <c r="AI86" s="16"/>
      <c r="AJ86" s="63">
        <v>10.4146</v>
      </c>
      <c r="AK86" s="16"/>
      <c r="AL86" s="16"/>
      <c r="AM86" s="16"/>
      <c r="AN86" s="152"/>
      <c r="AO86" s="114">
        <v>0.23922691906862315</v>
      </c>
      <c r="AP86" s="16"/>
      <c r="AQ86" s="16"/>
      <c r="AR86" s="16"/>
      <c r="AS86" s="16"/>
      <c r="AT86" s="16"/>
      <c r="AU86" s="16"/>
      <c r="AV86" s="16"/>
      <c r="AW86" s="16"/>
      <c r="AX86" s="16"/>
      <c r="AY86" s="16"/>
      <c r="AZ86" s="16"/>
      <c r="BA86" s="16"/>
      <c r="BB86" s="16"/>
      <c r="BC86" s="16"/>
      <c r="BD86" s="16"/>
      <c r="BE86" s="16"/>
      <c r="BF86" s="16"/>
      <c r="BG86" s="16"/>
      <c r="BH86" s="16"/>
      <c r="BI86" s="16"/>
      <c r="BJ86" s="16"/>
      <c r="BK86" s="16"/>
    </row>
    <row r="87" spans="1:63">
      <c r="A87" s="16" t="s">
        <v>545</v>
      </c>
      <c r="B87" s="38">
        <v>85</v>
      </c>
      <c r="C87" s="61">
        <v>24.1</v>
      </c>
      <c r="D87" s="38" t="s">
        <v>481</v>
      </c>
      <c r="E87" s="38">
        <v>150.52000000000001</v>
      </c>
      <c r="F87" s="38">
        <v>436.16</v>
      </c>
      <c r="G87" s="38">
        <v>24.14</v>
      </c>
      <c r="H87" s="38">
        <v>5.76</v>
      </c>
      <c r="I87" s="61">
        <v>91.11</v>
      </c>
      <c r="J87" s="38">
        <v>3224</v>
      </c>
      <c r="K87" s="55"/>
      <c r="L87" s="135">
        <f t="shared" si="14"/>
        <v>251.42073971037294</v>
      </c>
      <c r="M87" s="39">
        <f t="shared" si="15"/>
        <v>2345.9832061169577</v>
      </c>
      <c r="N87" s="63">
        <f t="shared" si="16"/>
        <v>65.650803200000013</v>
      </c>
      <c r="O87" s="63">
        <f t="shared" si="17"/>
        <v>56.632034595663363</v>
      </c>
      <c r="P87" s="146">
        <f t="shared" si="18"/>
        <v>9.0187686043366497</v>
      </c>
      <c r="Q87" s="114">
        <f t="shared" si="19"/>
        <v>0.86262515971264386</v>
      </c>
      <c r="R87" s="106">
        <f t="shared" si="20"/>
        <v>4.4905660377358485</v>
      </c>
      <c r="S87" s="16"/>
      <c r="T87" s="16"/>
      <c r="U87" s="16"/>
      <c r="V87" s="16"/>
      <c r="W87" s="16"/>
      <c r="X87" s="16"/>
      <c r="Y87" s="16"/>
      <c r="Z87" s="16"/>
      <c r="AA87" s="16"/>
      <c r="AB87" s="16"/>
      <c r="AC87" s="16"/>
      <c r="AD87" s="16"/>
      <c r="AE87" s="16"/>
      <c r="AF87" s="16"/>
      <c r="AG87" s="16"/>
      <c r="AH87" s="16"/>
      <c r="AI87" s="16"/>
      <c r="AJ87" s="63">
        <v>15.952999999999999</v>
      </c>
      <c r="AK87" s="16"/>
      <c r="AL87" s="16"/>
      <c r="AM87" s="16"/>
      <c r="AN87" s="152"/>
      <c r="AO87" s="114">
        <v>0.4884199073293744</v>
      </c>
      <c r="AP87" s="16"/>
      <c r="AQ87" s="16"/>
      <c r="AR87" s="16"/>
      <c r="AS87" s="16"/>
      <c r="AT87" s="16"/>
      <c r="AU87" s="16"/>
      <c r="AV87" s="16"/>
      <c r="AW87" s="16"/>
      <c r="AX87" s="16"/>
      <c r="AY87" s="16"/>
      <c r="AZ87" s="16"/>
      <c r="BA87" s="16"/>
      <c r="BB87" s="16"/>
      <c r="BC87" s="16"/>
      <c r="BD87" s="16"/>
      <c r="BE87" s="16"/>
      <c r="BF87" s="16"/>
      <c r="BG87" s="16"/>
      <c r="BH87" s="16"/>
      <c r="BI87" s="16"/>
      <c r="BJ87" s="16"/>
      <c r="BK87" s="16"/>
    </row>
    <row r="88" spans="1:63">
      <c r="A88" s="16"/>
      <c r="B88" s="38">
        <v>85</v>
      </c>
      <c r="C88" s="61">
        <v>24.1</v>
      </c>
      <c r="D88" s="38" t="s">
        <v>481</v>
      </c>
      <c r="E88" s="38">
        <v>150.47</v>
      </c>
      <c r="F88" s="38">
        <v>534.70000000000005</v>
      </c>
      <c r="G88" s="38">
        <v>24.14</v>
      </c>
      <c r="H88" s="38">
        <v>7.24</v>
      </c>
      <c r="I88" s="61">
        <v>91.055000000000007</v>
      </c>
      <c r="J88" s="38">
        <v>3265</v>
      </c>
      <c r="K88" s="55"/>
      <c r="L88" s="135">
        <f t="shared" si="14"/>
        <v>254.77188492582889</v>
      </c>
      <c r="M88" s="39">
        <f t="shared" si="15"/>
        <v>2947.0544982325737</v>
      </c>
      <c r="N88" s="63">
        <f t="shared" si="16"/>
        <v>80.456309000000005</v>
      </c>
      <c r="O88" s="63">
        <f t="shared" si="17"/>
        <v>71.141895587334332</v>
      </c>
      <c r="P88" s="154">
        <f t="shared" si="18"/>
        <v>9.3144134126656724</v>
      </c>
      <c r="Q88" s="114">
        <f t="shared" si="19"/>
        <v>0.88423016754763539</v>
      </c>
      <c r="R88" s="106">
        <f t="shared" si="20"/>
        <v>4.4920582175849013</v>
      </c>
      <c r="S88" s="18">
        <v>2</v>
      </c>
      <c r="T88" s="16"/>
      <c r="U88" s="16"/>
      <c r="V88" s="16"/>
      <c r="W88" s="18">
        <v>52</v>
      </c>
      <c r="X88" s="18">
        <v>58</v>
      </c>
      <c r="Y88" s="16"/>
      <c r="Z88" s="16"/>
      <c r="AA88" s="16"/>
      <c r="AB88" s="16"/>
      <c r="AC88" s="16"/>
      <c r="AD88" s="16"/>
      <c r="AE88" s="16"/>
      <c r="AF88" s="16"/>
      <c r="AG88" s="16"/>
      <c r="AH88" s="16"/>
      <c r="AI88" s="16"/>
      <c r="AJ88" s="63">
        <v>22.936199999999999</v>
      </c>
      <c r="AK88" s="16"/>
      <c r="AL88" s="16"/>
      <c r="AM88" s="16"/>
      <c r="AN88" s="152"/>
      <c r="AO88" s="114">
        <v>0.63925154685229368</v>
      </c>
      <c r="AP88" s="16"/>
      <c r="AQ88" s="16"/>
      <c r="AR88" s="16"/>
      <c r="AS88" s="16"/>
      <c r="AT88" s="16"/>
      <c r="AU88" s="16"/>
      <c r="AV88" s="16"/>
      <c r="AW88" s="16"/>
      <c r="AX88" s="16"/>
      <c r="AY88" s="16"/>
      <c r="AZ88" s="16"/>
      <c r="BA88" s="16"/>
      <c r="BB88" s="16"/>
      <c r="BC88" s="16"/>
      <c r="BD88" s="16"/>
      <c r="BE88" s="16"/>
      <c r="BF88" s="16"/>
      <c r="BG88" s="16"/>
      <c r="BH88" s="16"/>
      <c r="BI88" s="16"/>
      <c r="BJ88" s="16"/>
      <c r="BK88" s="16"/>
    </row>
    <row r="89" spans="1:63">
      <c r="A89" s="16" t="s">
        <v>542</v>
      </c>
      <c r="B89" s="38">
        <v>85</v>
      </c>
      <c r="C89" s="61">
        <v>24.1</v>
      </c>
      <c r="D89" s="38" t="s">
        <v>481</v>
      </c>
      <c r="E89" s="38">
        <v>150.44</v>
      </c>
      <c r="F89" s="38">
        <v>632.58000000000004</v>
      </c>
      <c r="G89" s="38">
        <v>24.14</v>
      </c>
      <c r="H89" s="38">
        <v>8.74</v>
      </c>
      <c r="I89" s="61">
        <v>91.01</v>
      </c>
      <c r="J89" s="38">
        <v>3297</v>
      </c>
      <c r="K89" s="55"/>
      <c r="L89" s="135">
        <f t="shared" si="14"/>
        <v>257.39609038938954</v>
      </c>
      <c r="M89" s="39">
        <f t="shared" si="15"/>
        <v>3556.1345435249305</v>
      </c>
      <c r="N89" s="63">
        <f t="shared" si="16"/>
        <v>95.165335200000001</v>
      </c>
      <c r="O89" s="63">
        <f t="shared" si="17"/>
        <v>85.845087880691821</v>
      </c>
      <c r="P89" s="154">
        <f t="shared" si="18"/>
        <v>9.3202473193081801</v>
      </c>
      <c r="Q89" s="191">
        <f t="shared" si="19"/>
        <v>0.90206258087862878</v>
      </c>
      <c r="R89" s="106">
        <f t="shared" si="20"/>
        <v>4.4929540015953204</v>
      </c>
      <c r="S89" s="16"/>
      <c r="T89" s="16"/>
      <c r="U89" s="16"/>
      <c r="V89" s="16"/>
      <c r="W89" s="16"/>
      <c r="X89" s="16"/>
      <c r="Y89" s="16"/>
      <c r="Z89" s="16"/>
      <c r="AA89" s="16"/>
      <c r="AB89" s="16"/>
      <c r="AC89" s="16"/>
      <c r="AD89" s="16"/>
      <c r="AE89" s="16"/>
      <c r="AF89" s="16"/>
      <c r="AG89" s="16"/>
      <c r="AH89" s="16"/>
      <c r="AI89" s="16"/>
      <c r="AJ89" s="63">
        <v>36.812299999999993</v>
      </c>
      <c r="AK89" s="16"/>
      <c r="AL89" s="16"/>
      <c r="AM89" s="16"/>
      <c r="AN89" s="152"/>
      <c r="AO89" s="114">
        <v>0.76616838949177901</v>
      </c>
      <c r="AP89" s="16"/>
      <c r="AQ89" s="16"/>
      <c r="AR89" s="16"/>
      <c r="AS89" s="16"/>
      <c r="AT89" s="16"/>
      <c r="AU89" s="16"/>
      <c r="AV89" s="16"/>
      <c r="AW89" s="16"/>
      <c r="AX89" s="16"/>
      <c r="AY89" s="16"/>
      <c r="AZ89" s="16"/>
      <c r="BA89" s="16"/>
      <c r="BB89" s="16"/>
      <c r="BC89" s="16"/>
      <c r="BD89" s="16"/>
      <c r="BE89" s="16"/>
      <c r="BF89" s="16"/>
      <c r="BG89" s="16"/>
      <c r="BH89" s="16"/>
      <c r="BI89" s="16"/>
      <c r="BJ89" s="16"/>
      <c r="BK89" s="16"/>
    </row>
    <row r="90" spans="1:63">
      <c r="A90" s="16"/>
      <c r="B90" s="38">
        <v>85</v>
      </c>
      <c r="C90" s="61">
        <v>24.1</v>
      </c>
      <c r="D90" s="38" t="s">
        <v>481</v>
      </c>
      <c r="E90" s="38">
        <v>150.38999999999999</v>
      </c>
      <c r="F90" s="38">
        <v>736.48</v>
      </c>
      <c r="G90" s="38">
        <v>24.14</v>
      </c>
      <c r="H90" s="38">
        <v>10.28</v>
      </c>
      <c r="I90" s="61">
        <v>90.86</v>
      </c>
      <c r="J90" s="38">
        <v>3336</v>
      </c>
      <c r="K90" s="55"/>
      <c r="L90" s="135">
        <f t="shared" si="14"/>
        <v>260.87077163186831</v>
      </c>
      <c r="M90" s="39">
        <f t="shared" si="15"/>
        <v>4181.3375029562676</v>
      </c>
      <c r="N90" s="63">
        <f t="shared" si="16"/>
        <v>110.7592272</v>
      </c>
      <c r="O90" s="63">
        <f t="shared" si="17"/>
        <v>100.9374873213643</v>
      </c>
      <c r="P90" s="192">
        <f t="shared" si="18"/>
        <v>9.8217398786356966</v>
      </c>
      <c r="Q90" s="193">
        <f t="shared" si="19"/>
        <v>0.91132350661042083</v>
      </c>
      <c r="R90" s="106">
        <f t="shared" si="20"/>
        <v>4.4944477691335862</v>
      </c>
      <c r="S90" s="16"/>
      <c r="T90" s="16"/>
      <c r="U90" s="16"/>
      <c r="V90" s="16"/>
      <c r="W90" s="16"/>
      <c r="X90" s="16"/>
      <c r="Y90" s="16"/>
      <c r="Z90" s="16"/>
      <c r="AA90" s="16"/>
      <c r="AB90" s="16"/>
      <c r="AC90" s="16"/>
      <c r="AD90" s="16"/>
      <c r="AE90" s="16"/>
      <c r="AF90" s="16"/>
      <c r="AG90" s="16"/>
      <c r="AH90" s="16"/>
      <c r="AI90" s="16"/>
      <c r="AJ90" s="63">
        <v>50.869</v>
      </c>
      <c r="AK90" s="16"/>
      <c r="AL90" s="16"/>
      <c r="AM90" s="16"/>
      <c r="AN90" s="152"/>
      <c r="AO90" s="114">
        <v>0.82641335509017921</v>
      </c>
      <c r="AP90" s="16"/>
      <c r="AQ90" s="16"/>
      <c r="AR90" s="16"/>
      <c r="AS90" s="16"/>
      <c r="AT90" s="16"/>
      <c r="AU90" s="16"/>
      <c r="AV90" s="16"/>
      <c r="AW90" s="16"/>
      <c r="AX90" s="16"/>
      <c r="AY90" s="16"/>
      <c r="AZ90" s="16"/>
      <c r="BA90" s="16"/>
      <c r="BB90" s="16"/>
      <c r="BC90" s="16"/>
      <c r="BD90" s="16"/>
      <c r="BE90" s="16"/>
      <c r="BF90" s="16"/>
      <c r="BG90" s="16"/>
      <c r="BH90" s="16"/>
      <c r="BI90" s="16"/>
      <c r="BJ90" s="16"/>
      <c r="BK90" s="16"/>
    </row>
    <row r="91" spans="1:63">
      <c r="A91" s="16" t="s">
        <v>541</v>
      </c>
      <c r="B91" s="38">
        <v>85</v>
      </c>
      <c r="C91" s="61">
        <v>24.1</v>
      </c>
      <c r="D91" s="38" t="s">
        <v>481</v>
      </c>
      <c r="E91" s="38">
        <v>150.35</v>
      </c>
      <c r="F91" s="38">
        <v>860.28</v>
      </c>
      <c r="G91" s="38">
        <v>24.14</v>
      </c>
      <c r="H91" s="38">
        <v>11.83</v>
      </c>
      <c r="I91" s="61">
        <v>90.33</v>
      </c>
      <c r="J91" s="38">
        <v>3410</v>
      </c>
      <c r="K91" s="55"/>
      <c r="L91" s="135">
        <f t="shared" si="14"/>
        <v>268.22205284164568</v>
      </c>
      <c r="M91" s="39">
        <f t="shared" si="15"/>
        <v>4810.4782537090814</v>
      </c>
      <c r="N91" s="63">
        <f t="shared" si="16"/>
        <v>129.343098</v>
      </c>
      <c r="O91" s="63">
        <f t="shared" si="17"/>
        <v>116.12494504453724</v>
      </c>
      <c r="P91" s="194">
        <f t="shared" si="18"/>
        <v>13.218152955462756</v>
      </c>
      <c r="Q91" s="114">
        <f t="shared" si="19"/>
        <v>0.89780550211142496</v>
      </c>
      <c r="R91" s="106">
        <f t="shared" si="20"/>
        <v>4.4956434985034921</v>
      </c>
      <c r="S91" s="18">
        <v>2</v>
      </c>
      <c r="T91" s="16"/>
      <c r="U91" s="16"/>
      <c r="V91" s="16"/>
      <c r="W91" s="18">
        <v>83</v>
      </c>
      <c r="X91" s="18">
        <v>93</v>
      </c>
      <c r="Y91" s="16"/>
      <c r="Z91" s="16"/>
      <c r="AA91" s="16"/>
      <c r="AB91" s="16"/>
      <c r="AC91" s="16"/>
      <c r="AD91" s="16"/>
      <c r="AE91" s="16"/>
      <c r="AF91" s="16"/>
      <c r="AG91" s="16"/>
      <c r="AH91" s="16"/>
      <c r="AI91" s="16"/>
      <c r="AJ91" s="63">
        <v>79.768590000000003</v>
      </c>
      <c r="AK91" s="16"/>
      <c r="AL91" s="16"/>
      <c r="AM91" s="16"/>
      <c r="AN91" s="152"/>
      <c r="AO91" s="114">
        <v>0.88238733188445295</v>
      </c>
      <c r="AP91" s="16"/>
      <c r="AQ91" s="16"/>
      <c r="AR91" s="16"/>
      <c r="AS91" s="16"/>
      <c r="AT91" s="16"/>
      <c r="AU91" s="16"/>
      <c r="AV91" s="16"/>
      <c r="AW91" s="16"/>
      <c r="AX91" s="16"/>
      <c r="AY91" s="16"/>
      <c r="AZ91" s="16"/>
      <c r="BA91" s="16"/>
      <c r="BB91" s="16"/>
      <c r="BC91" s="16"/>
      <c r="BD91" s="16"/>
      <c r="BE91" s="16"/>
      <c r="BF91" s="16"/>
      <c r="BG91" s="16"/>
      <c r="BH91" s="16"/>
      <c r="BI91" s="16"/>
      <c r="BJ91" s="16"/>
      <c r="BK91" s="16"/>
    </row>
    <row r="92" spans="1:63">
      <c r="A92" s="16" t="s">
        <v>541</v>
      </c>
      <c r="B92" s="38">
        <v>85</v>
      </c>
      <c r="C92" s="61">
        <v>24.1</v>
      </c>
      <c r="D92" s="38" t="s">
        <v>481</v>
      </c>
      <c r="E92" s="38">
        <v>150.87</v>
      </c>
      <c r="F92" s="38">
        <v>962.3</v>
      </c>
      <c r="G92" s="38">
        <v>24.145</v>
      </c>
      <c r="H92" s="38">
        <v>13.4</v>
      </c>
      <c r="I92" s="61">
        <v>90.21</v>
      </c>
      <c r="J92" s="38">
        <v>3454</v>
      </c>
      <c r="K92" s="55"/>
      <c r="L92" s="135">
        <f t="shared" si="14"/>
        <v>272.04438326415277</v>
      </c>
      <c r="M92" s="39">
        <f t="shared" si="15"/>
        <v>5447.6122082586044</v>
      </c>
      <c r="N92" s="63">
        <f t="shared" si="16"/>
        <v>145.18220099999999</v>
      </c>
      <c r="O92" s="63">
        <f t="shared" si="17"/>
        <v>131.53259676840401</v>
      </c>
      <c r="P92" s="195">
        <f t="shared" si="18"/>
        <v>13.649604231595987</v>
      </c>
      <c r="Q92" s="196">
        <f t="shared" si="19"/>
        <v>0.90598293635460181</v>
      </c>
      <c r="R92" s="106">
        <f t="shared" si="20"/>
        <v>4.481076423410884</v>
      </c>
      <c r="S92" s="18">
        <v>2</v>
      </c>
      <c r="T92" s="16"/>
      <c r="U92" s="16"/>
      <c r="V92" s="16"/>
      <c r="W92" s="18">
        <v>90</v>
      </c>
      <c r="X92" s="18">
        <v>100</v>
      </c>
      <c r="Y92" s="16"/>
      <c r="Z92" s="16"/>
      <c r="AA92" s="16"/>
      <c r="AB92" s="16"/>
      <c r="AC92" s="16"/>
      <c r="AD92" s="16"/>
      <c r="AE92" s="16"/>
      <c r="AF92" s="16"/>
      <c r="AG92" s="16"/>
      <c r="AH92" s="16"/>
      <c r="AI92" s="16"/>
      <c r="AJ92" s="63">
        <v>124.86208000000002</v>
      </c>
      <c r="AK92" s="16"/>
      <c r="AL92" s="16"/>
      <c r="AM92" s="16"/>
      <c r="AN92" s="152"/>
      <c r="AO92" s="173">
        <v>0.91904040057474268</v>
      </c>
      <c r="AP92" s="16"/>
      <c r="AQ92" s="16"/>
      <c r="AR92" s="16"/>
      <c r="AS92" s="16"/>
      <c r="AT92" s="16"/>
      <c r="AU92" s="16"/>
      <c r="AV92" s="16"/>
      <c r="AW92" s="16"/>
      <c r="AX92" s="16"/>
      <c r="AY92" s="16"/>
      <c r="AZ92" s="16"/>
      <c r="BA92" s="16"/>
      <c r="BB92" s="16"/>
      <c r="BC92" s="16"/>
      <c r="BD92" s="16"/>
      <c r="BE92" s="16"/>
      <c r="BF92" s="16"/>
      <c r="BG92" s="16"/>
      <c r="BH92" s="16"/>
      <c r="BI92" s="16"/>
      <c r="BJ92" s="16"/>
      <c r="BK92" s="16"/>
    </row>
    <row r="93" spans="1:63">
      <c r="A93" s="16" t="s">
        <v>546</v>
      </c>
      <c r="B93" s="38">
        <v>85</v>
      </c>
      <c r="C93" s="61">
        <v>24.1</v>
      </c>
      <c r="D93" s="38" t="s">
        <v>481</v>
      </c>
      <c r="E93" s="38">
        <v>150.81</v>
      </c>
      <c r="F93" s="38">
        <v>1065.2</v>
      </c>
      <c r="G93" s="38">
        <v>24.15</v>
      </c>
      <c r="H93" s="38">
        <v>15.11</v>
      </c>
      <c r="I93" s="61">
        <v>90.04</v>
      </c>
      <c r="J93" s="38">
        <v>3446</v>
      </c>
      <c r="K93" s="55"/>
      <c r="L93" s="135">
        <f t="shared" si="14"/>
        <v>271.92672993286283</v>
      </c>
      <c r="M93" s="39">
        <f t="shared" si="15"/>
        <v>6141.4178233354642</v>
      </c>
      <c r="N93" s="63">
        <f t="shared" si="16"/>
        <v>160.64281199999999</v>
      </c>
      <c r="O93" s="63">
        <f t="shared" si="17"/>
        <v>148.31524043355145</v>
      </c>
      <c r="P93" s="197">
        <f t="shared" si="18"/>
        <v>12.32757156644854</v>
      </c>
      <c r="Q93" s="198">
        <f t="shared" si="19"/>
        <v>0.92326098246805754</v>
      </c>
      <c r="R93" s="106">
        <f t="shared" si="20"/>
        <v>4.4837875472448774</v>
      </c>
      <c r="S93" s="16"/>
      <c r="T93" s="16"/>
      <c r="U93" s="16"/>
      <c r="V93" s="16"/>
      <c r="W93" s="16"/>
      <c r="X93" s="16"/>
      <c r="Y93" s="16"/>
      <c r="Z93" s="16"/>
      <c r="AA93" s="16"/>
      <c r="AB93" s="16"/>
      <c r="AC93" s="16"/>
      <c r="AD93" s="16"/>
      <c r="AE93" s="16"/>
      <c r="AF93" s="16"/>
      <c r="AG93" s="16"/>
      <c r="AH93" s="16"/>
      <c r="AI93" s="16"/>
      <c r="AJ93" s="63">
        <v>157.3184</v>
      </c>
      <c r="AK93" s="16"/>
      <c r="AL93" s="16"/>
      <c r="AM93" s="16"/>
      <c r="AN93" s="16"/>
      <c r="AO93" s="199">
        <v>0.93280656111075688</v>
      </c>
      <c r="AP93" s="16"/>
      <c r="AQ93" s="16"/>
      <c r="AR93" s="16"/>
      <c r="AS93" s="16"/>
      <c r="AT93" s="16"/>
      <c r="AU93" s="16"/>
      <c r="AV93" s="16"/>
      <c r="AW93" s="16"/>
      <c r="AX93" s="16"/>
      <c r="AY93" s="16"/>
      <c r="AZ93" s="16"/>
      <c r="BA93" s="16"/>
      <c r="BB93" s="16"/>
      <c r="BC93" s="16"/>
      <c r="BD93" s="16"/>
      <c r="BE93" s="16"/>
      <c r="BF93" s="16"/>
      <c r="BG93" s="16"/>
      <c r="BH93" s="16"/>
      <c r="BI93" s="16"/>
      <c r="BJ93" s="16"/>
      <c r="BK93" s="16"/>
    </row>
    <row r="94" spans="1:63">
      <c r="A94" s="16" t="s">
        <v>547</v>
      </c>
      <c r="B94" s="38">
        <v>85</v>
      </c>
      <c r="C94" s="61">
        <v>24.1</v>
      </c>
      <c r="D94" s="38" t="s">
        <v>481</v>
      </c>
      <c r="E94" s="38">
        <v>150.77000000000001</v>
      </c>
      <c r="F94" s="38">
        <v>1158.5</v>
      </c>
      <c r="G94" s="38">
        <v>24.15</v>
      </c>
      <c r="H94" s="38">
        <v>16.760000000000002</v>
      </c>
      <c r="I94" s="61">
        <v>89.79</v>
      </c>
      <c r="J94" s="38">
        <v>3404</v>
      </c>
      <c r="K94" s="55"/>
      <c r="L94" s="135">
        <f t="shared" si="14"/>
        <v>269.36036579638784</v>
      </c>
      <c r="M94" s="39">
        <f t="shared" si="15"/>
        <v>6810.7381996877839</v>
      </c>
      <c r="N94" s="63">
        <f t="shared" si="16"/>
        <v>174.667045</v>
      </c>
      <c r="O94" s="63">
        <f t="shared" si="17"/>
        <v>164.47932752245995</v>
      </c>
      <c r="P94" s="200">
        <f t="shared" si="18"/>
        <v>10.187717477540048</v>
      </c>
      <c r="Q94" s="201">
        <f t="shared" si="19"/>
        <v>0.9416734995571715</v>
      </c>
      <c r="R94" s="106">
        <f t="shared" si="20"/>
        <v>4.4849771174636857</v>
      </c>
      <c r="S94" s="16"/>
      <c r="T94" s="16"/>
      <c r="U94" s="16"/>
      <c r="V94" s="16"/>
      <c r="W94" s="16"/>
      <c r="X94" s="16"/>
      <c r="Y94" s="16"/>
      <c r="Z94" s="16"/>
      <c r="AA94" s="16"/>
      <c r="AB94" s="16"/>
      <c r="AC94" s="16"/>
      <c r="AD94" s="16"/>
      <c r="AE94" s="16"/>
      <c r="AF94" s="16"/>
      <c r="AG94" s="16"/>
      <c r="AH94" s="16"/>
      <c r="AI94" s="16"/>
      <c r="AJ94" s="63">
        <v>206.2116</v>
      </c>
      <c r="AK94" s="16"/>
      <c r="AL94" s="16"/>
      <c r="AM94" s="16"/>
      <c r="AN94" s="16"/>
      <c r="AO94" s="202">
        <v>0.94580030466281795</v>
      </c>
      <c r="AP94" s="16"/>
      <c r="AQ94" s="16"/>
      <c r="AR94" s="16"/>
      <c r="AS94" s="16"/>
      <c r="AT94" s="16"/>
      <c r="AU94" s="16"/>
      <c r="AV94" s="16"/>
      <c r="AW94" s="16"/>
      <c r="AX94" s="16"/>
      <c r="AY94" s="16"/>
      <c r="AZ94" s="16"/>
      <c r="BA94" s="16"/>
      <c r="BB94" s="16"/>
      <c r="BC94" s="16"/>
      <c r="BD94" s="16"/>
      <c r="BE94" s="16"/>
      <c r="BF94" s="16"/>
      <c r="BG94" s="16"/>
      <c r="BH94" s="16"/>
      <c r="BI94" s="16"/>
      <c r="BJ94" s="16"/>
      <c r="BK94" s="16"/>
    </row>
    <row r="95" spans="1:63">
      <c r="A95" s="16"/>
      <c r="B95" s="38">
        <v>85</v>
      </c>
      <c r="C95" s="61">
        <v>24.1</v>
      </c>
      <c r="D95" s="38" t="s">
        <v>481</v>
      </c>
      <c r="E95" s="38">
        <v>150.69999999999999</v>
      </c>
      <c r="F95" s="38">
        <v>1267.5</v>
      </c>
      <c r="G95" s="38">
        <v>24.14</v>
      </c>
      <c r="H95" s="38">
        <v>18.41</v>
      </c>
      <c r="I95" s="61">
        <v>89.39</v>
      </c>
      <c r="J95" s="38">
        <v>3433</v>
      </c>
      <c r="K95" s="55"/>
      <c r="L95" s="135">
        <f t="shared" si="14"/>
        <v>272.87074678499346</v>
      </c>
      <c r="M95" s="39">
        <f t="shared" si="15"/>
        <v>7479.9199150930535</v>
      </c>
      <c r="N95" s="63">
        <f t="shared" si="16"/>
        <v>191.01224999999999</v>
      </c>
      <c r="O95" s="63">
        <f t="shared" si="17"/>
        <v>180.56526675034632</v>
      </c>
      <c r="P95" s="203">
        <f t="shared" si="18"/>
        <v>10.44698324965367</v>
      </c>
      <c r="Q95" s="204">
        <f t="shared" si="19"/>
        <v>0.94530726040003366</v>
      </c>
      <c r="R95" s="106">
        <f t="shared" si="20"/>
        <v>4.4852023888520236</v>
      </c>
      <c r="S95" s="18">
        <v>2</v>
      </c>
      <c r="T95" s="18">
        <v>67</v>
      </c>
      <c r="U95" s="18">
        <v>70</v>
      </c>
      <c r="V95" s="18">
        <v>72</v>
      </c>
      <c r="W95" s="18">
        <v>64</v>
      </c>
      <c r="X95" s="18">
        <v>69</v>
      </c>
      <c r="Y95" s="18">
        <v>98</v>
      </c>
      <c r="Z95" s="18">
        <v>62</v>
      </c>
      <c r="AA95" s="18">
        <v>89</v>
      </c>
      <c r="AB95" s="16"/>
      <c r="AC95" s="16"/>
      <c r="AD95" s="18">
        <v>58</v>
      </c>
      <c r="AE95" s="18">
        <v>32</v>
      </c>
      <c r="AF95" s="16"/>
      <c r="AG95" s="16"/>
      <c r="AH95" s="16"/>
      <c r="AI95" s="16"/>
      <c r="AJ95" s="63">
        <v>239.85910000000001</v>
      </c>
      <c r="AK95" s="16"/>
      <c r="AL95" s="16"/>
      <c r="AM95" s="16"/>
      <c r="AN95" s="16"/>
      <c r="AO95" s="205">
        <v>0.95148080162312754</v>
      </c>
      <c r="AP95" s="16"/>
      <c r="AQ95" s="16"/>
      <c r="AR95" s="16"/>
      <c r="AS95" s="16"/>
      <c r="AT95" s="16"/>
      <c r="AU95" s="16"/>
      <c r="AV95" s="16"/>
      <c r="AW95" s="16"/>
      <c r="AX95" s="16"/>
      <c r="AY95" s="16"/>
      <c r="AZ95" s="16"/>
      <c r="BA95" s="16"/>
      <c r="BB95" s="16"/>
      <c r="BC95" s="16"/>
      <c r="BD95" s="16"/>
      <c r="BE95" s="16"/>
      <c r="BF95" s="16"/>
      <c r="BG95" s="16"/>
      <c r="BH95" s="16"/>
      <c r="BI95" s="16"/>
      <c r="BJ95" s="16"/>
      <c r="BK95" s="16"/>
    </row>
    <row r="96" spans="1:63">
      <c r="A96" s="16"/>
      <c r="B96" s="38">
        <v>85</v>
      </c>
      <c r="C96" s="61">
        <v>24.1</v>
      </c>
      <c r="D96" s="38" t="s">
        <v>481</v>
      </c>
      <c r="E96" s="38">
        <v>150.63999999999999</v>
      </c>
      <c r="F96" s="38">
        <v>1379.3</v>
      </c>
      <c r="G96" s="38">
        <v>24.14</v>
      </c>
      <c r="H96" s="38">
        <v>20.079999999999998</v>
      </c>
      <c r="I96" s="61">
        <v>89.04</v>
      </c>
      <c r="J96" s="38">
        <v>3497</v>
      </c>
      <c r="K96" s="55"/>
      <c r="L96" s="135">
        <f t="shared" si="14"/>
        <v>279.05036459955693</v>
      </c>
      <c r="M96" s="39">
        <f t="shared" si="15"/>
        <v>8157.0717317769167</v>
      </c>
      <c r="N96" s="63">
        <f t="shared" si="16"/>
        <v>207.77775199999999</v>
      </c>
      <c r="O96" s="63">
        <f t="shared" si="17"/>
        <v>196.91171160509478</v>
      </c>
      <c r="P96" s="105">
        <f t="shared" si="18"/>
        <v>10.866040394905212</v>
      </c>
      <c r="Q96" s="206">
        <f t="shared" si="19"/>
        <v>0.94770354241340904</v>
      </c>
      <c r="R96" s="106">
        <f t="shared" si="20"/>
        <v>4.4869888475836435</v>
      </c>
      <c r="S96" s="16"/>
      <c r="T96" s="16"/>
      <c r="U96" s="16"/>
      <c r="V96" s="16"/>
      <c r="W96" s="16"/>
      <c r="X96" s="16"/>
      <c r="Y96" s="16"/>
      <c r="Z96" s="16"/>
      <c r="AA96" s="16"/>
      <c r="AB96" s="16"/>
      <c r="AC96" s="16"/>
      <c r="AD96" s="16"/>
      <c r="AE96" s="16"/>
      <c r="AF96" s="16"/>
      <c r="AG96" s="16"/>
      <c r="AH96" s="16"/>
      <c r="AI96" s="16"/>
      <c r="AJ96" s="63">
        <v>292.45802999999995</v>
      </c>
      <c r="AK96" s="16"/>
      <c r="AL96" s="16"/>
      <c r="AM96" s="16"/>
      <c r="AN96" s="16"/>
      <c r="AO96" s="207">
        <v>0.95833532442323222</v>
      </c>
      <c r="AP96" s="16"/>
      <c r="AQ96" s="16"/>
      <c r="AR96" s="16"/>
      <c r="AS96" s="16"/>
      <c r="AT96" s="16"/>
      <c r="AU96" s="16"/>
      <c r="AV96" s="16"/>
      <c r="AW96" s="16"/>
      <c r="AX96" s="16"/>
      <c r="AY96" s="16"/>
      <c r="AZ96" s="16"/>
      <c r="BA96" s="16"/>
      <c r="BB96" s="16"/>
      <c r="BC96" s="16"/>
      <c r="BD96" s="16"/>
      <c r="BE96" s="16"/>
      <c r="BF96" s="16"/>
      <c r="BG96" s="16"/>
      <c r="BH96" s="16"/>
      <c r="BI96" s="16"/>
      <c r="BJ96" s="16"/>
      <c r="BK96" s="16"/>
    </row>
    <row r="97" spans="1:63">
      <c r="A97" s="16"/>
      <c r="B97" s="38">
        <v>85</v>
      </c>
      <c r="C97" s="61">
        <v>24.1</v>
      </c>
      <c r="D97" s="38" t="s">
        <v>481</v>
      </c>
      <c r="E97" s="38">
        <v>150.57</v>
      </c>
      <c r="F97" s="38">
        <v>1495.2</v>
      </c>
      <c r="G97" s="38">
        <v>24.14</v>
      </c>
      <c r="H97" s="38">
        <v>21.78</v>
      </c>
      <c r="I97" s="61">
        <v>88.7</v>
      </c>
      <c r="J97" s="38">
        <v>3597</v>
      </c>
      <c r="K97" s="55"/>
      <c r="L97" s="135">
        <f t="shared" si="14"/>
        <v>288.13029991823737</v>
      </c>
      <c r="M97" s="39">
        <f t="shared" si="15"/>
        <v>8846.2420591364717</v>
      </c>
      <c r="N97" s="63">
        <f t="shared" si="16"/>
        <v>225.13226399999999</v>
      </c>
      <c r="O97" s="63">
        <f t="shared" si="17"/>
        <v>213.54828330755444</v>
      </c>
      <c r="P97" s="208">
        <f t="shared" si="18"/>
        <v>11.58398069244555</v>
      </c>
      <c r="Q97" s="209">
        <f t="shared" si="19"/>
        <v>0.94854588815201735</v>
      </c>
      <c r="R97" s="106">
        <f t="shared" si="20"/>
        <v>4.4890748489074852</v>
      </c>
      <c r="S97" s="16"/>
      <c r="T97" s="16"/>
      <c r="U97" s="16"/>
      <c r="V97" s="16"/>
      <c r="W97" s="16"/>
      <c r="X97" s="16"/>
      <c r="Y97" s="16"/>
      <c r="Z97" s="16"/>
      <c r="AA97" s="16"/>
      <c r="AB97" s="16"/>
      <c r="AC97" s="16"/>
      <c r="AD97" s="16"/>
      <c r="AE97" s="16"/>
      <c r="AF97" s="16"/>
      <c r="AG97" s="16"/>
      <c r="AH97" s="16"/>
      <c r="AI97" s="16"/>
      <c r="AJ97" s="63">
        <v>329.48394999999999</v>
      </c>
      <c r="AK97" s="16"/>
      <c r="AL97" s="16"/>
      <c r="AM97" s="16"/>
      <c r="AN97" s="152"/>
      <c r="AO97" s="210">
        <v>0.96134236053305522</v>
      </c>
      <c r="AP97" s="16"/>
      <c r="AQ97" s="16"/>
      <c r="AR97" s="16"/>
      <c r="AS97" s="16"/>
      <c r="AT97" s="16"/>
      <c r="AU97" s="16"/>
      <c r="AV97" s="16"/>
      <c r="AW97" s="16"/>
      <c r="AX97" s="16"/>
      <c r="AY97" s="16"/>
      <c r="AZ97" s="16"/>
      <c r="BA97" s="16"/>
      <c r="BB97" s="16"/>
      <c r="BC97" s="16"/>
      <c r="BD97" s="16"/>
      <c r="BE97" s="16"/>
      <c r="BF97" s="16"/>
      <c r="BG97" s="16"/>
      <c r="BH97" s="16"/>
      <c r="BI97" s="16"/>
      <c r="BJ97" s="16"/>
      <c r="BK97" s="16"/>
    </row>
    <row r="98" spans="1:63">
      <c r="A98" s="139" t="s">
        <v>548</v>
      </c>
      <c r="B98" s="140">
        <v>85</v>
      </c>
      <c r="C98" s="107">
        <v>24.1</v>
      </c>
      <c r="D98" s="140" t="s">
        <v>481</v>
      </c>
      <c r="E98" s="140">
        <v>150.65</v>
      </c>
      <c r="F98" s="140">
        <v>1535</v>
      </c>
      <c r="G98" s="140">
        <v>24.14</v>
      </c>
      <c r="H98" s="140">
        <v>22.38</v>
      </c>
      <c r="I98" s="107">
        <v>88.61</v>
      </c>
      <c r="J98" s="140">
        <v>3640</v>
      </c>
      <c r="K98" s="184"/>
      <c r="L98" s="141">
        <f t="shared" si="14"/>
        <v>291.87087521084516</v>
      </c>
      <c r="M98" s="142">
        <f t="shared" si="15"/>
        <v>9089.4435025440107</v>
      </c>
      <c r="N98" s="110">
        <f t="shared" si="16"/>
        <v>231.24775</v>
      </c>
      <c r="O98" s="110">
        <f t="shared" si="17"/>
        <v>219.41916615141241</v>
      </c>
      <c r="P98" s="211">
        <f t="shared" si="18"/>
        <v>11.828583848587584</v>
      </c>
      <c r="Q98" s="212">
        <f t="shared" si="19"/>
        <v>0.94884886945456726</v>
      </c>
      <c r="R98" s="113">
        <f t="shared" si="20"/>
        <v>4.4866910056422169</v>
      </c>
      <c r="S98" s="139"/>
      <c r="T98" s="139"/>
      <c r="U98" s="139"/>
      <c r="V98" s="139"/>
      <c r="W98" s="139"/>
      <c r="X98" s="139"/>
      <c r="Y98" s="139"/>
      <c r="Z98" s="139"/>
      <c r="AA98" s="139"/>
      <c r="AB98" s="139"/>
      <c r="AC98" s="139"/>
      <c r="AD98" s="139"/>
      <c r="AE98" s="139"/>
      <c r="AF98" s="16"/>
      <c r="AG98" s="16"/>
      <c r="AH98" s="16"/>
      <c r="AI98" s="16"/>
      <c r="AJ98" s="63">
        <v>356.63627999999994</v>
      </c>
      <c r="AK98" s="16"/>
      <c r="AL98" s="16"/>
      <c r="AM98" s="16"/>
      <c r="AN98" s="152"/>
      <c r="AO98" s="213">
        <v>0.96324810691823215</v>
      </c>
      <c r="AP98" s="16"/>
      <c r="AQ98" s="16"/>
      <c r="AR98" s="16"/>
      <c r="AS98" s="16"/>
      <c r="AT98" s="16"/>
      <c r="AU98" s="16"/>
      <c r="AV98" s="16"/>
      <c r="AW98" s="16"/>
      <c r="AX98" s="16"/>
      <c r="AY98" s="16"/>
      <c r="AZ98" s="16"/>
      <c r="BA98" s="16"/>
      <c r="BB98" s="16"/>
      <c r="BC98" s="16"/>
      <c r="BD98" s="16"/>
      <c r="BE98" s="16"/>
      <c r="BF98" s="16"/>
      <c r="BG98" s="16"/>
      <c r="BH98" s="16"/>
      <c r="BI98" s="16"/>
      <c r="BJ98" s="16"/>
      <c r="BK98" s="16"/>
    </row>
    <row r="99" spans="1:63">
      <c r="A99" s="16" t="s">
        <v>549</v>
      </c>
      <c r="B99" s="38">
        <v>85</v>
      </c>
      <c r="C99" s="61">
        <v>24.1</v>
      </c>
      <c r="D99" s="38" t="s">
        <v>481</v>
      </c>
      <c r="E99" s="38">
        <v>201.25</v>
      </c>
      <c r="F99" s="38">
        <v>46.55</v>
      </c>
      <c r="G99" s="38">
        <v>24.13</v>
      </c>
      <c r="H99" s="38">
        <v>0.12</v>
      </c>
      <c r="I99" s="61">
        <v>96.2</v>
      </c>
      <c r="J99" s="38">
        <v>2925</v>
      </c>
      <c r="K99" s="55"/>
      <c r="L99" s="135">
        <f t="shared" si="14"/>
        <v>216.03440031175464</v>
      </c>
      <c r="M99" s="39">
        <f t="shared" si="15"/>
        <v>54.391605480195835</v>
      </c>
      <c r="N99" s="63">
        <f t="shared" si="16"/>
        <v>9.3681874999999994</v>
      </c>
      <c r="O99" s="63">
        <f t="shared" si="17"/>
        <v>1.3124694402371253</v>
      </c>
      <c r="P99" s="214">
        <f t="shared" si="18"/>
        <v>8.0557180597628744</v>
      </c>
      <c r="Q99" s="114">
        <f t="shared" si="19"/>
        <v>0.14009854523483067</v>
      </c>
      <c r="R99" s="106">
        <f t="shared" si="20"/>
        <v>3.3572173913043475</v>
      </c>
      <c r="S99" s="16"/>
      <c r="T99" s="16"/>
      <c r="U99" s="16"/>
      <c r="V99" s="16"/>
      <c r="W99" s="16"/>
      <c r="X99" s="16"/>
      <c r="Y99" s="16"/>
      <c r="Z99" s="16"/>
      <c r="AA99" s="16"/>
      <c r="AB99" s="16"/>
      <c r="AC99" s="16"/>
      <c r="AD99" s="16"/>
      <c r="AE99" s="16"/>
      <c r="AF99" s="16"/>
      <c r="AG99" s="16"/>
      <c r="AH99" s="16"/>
      <c r="AI99" s="16"/>
      <c r="AJ99" s="63">
        <v>399.00861000000003</v>
      </c>
      <c r="AK99" s="16"/>
      <c r="AL99" s="16"/>
      <c r="AM99" s="16"/>
      <c r="AN99" s="152"/>
      <c r="AO99" s="215">
        <v>0.96411435745879903</v>
      </c>
      <c r="AP99" s="16"/>
      <c r="AQ99" s="16"/>
      <c r="AR99" s="16"/>
      <c r="AS99" s="16"/>
      <c r="AT99" s="16"/>
      <c r="AU99" s="16"/>
      <c r="AV99" s="16"/>
      <c r="AW99" s="16"/>
      <c r="AX99" s="16"/>
      <c r="AY99" s="16"/>
      <c r="AZ99" s="16"/>
      <c r="BA99" s="16"/>
      <c r="BB99" s="16"/>
      <c r="BC99" s="16"/>
      <c r="BD99" s="16"/>
      <c r="BE99" s="16"/>
      <c r="BF99" s="16"/>
      <c r="BG99" s="16"/>
      <c r="BH99" s="16"/>
      <c r="BI99" s="16"/>
      <c r="BJ99" s="16"/>
      <c r="BK99" s="16"/>
    </row>
    <row r="100" spans="1:63">
      <c r="A100" s="16"/>
      <c r="B100" s="38">
        <v>85</v>
      </c>
      <c r="C100" s="61">
        <v>24.1</v>
      </c>
      <c r="D100" s="38" t="s">
        <v>481</v>
      </c>
      <c r="E100" s="38">
        <v>201.51</v>
      </c>
      <c r="F100" s="38">
        <v>117.72</v>
      </c>
      <c r="G100" s="38">
        <v>24.13</v>
      </c>
      <c r="H100" s="38">
        <v>1.49</v>
      </c>
      <c r="I100" s="61">
        <v>95.73</v>
      </c>
      <c r="J100" s="38">
        <v>3045</v>
      </c>
      <c r="K100" s="55"/>
      <c r="L100" s="135">
        <f t="shared" si="14"/>
        <v>226.00151547638691</v>
      </c>
      <c r="M100" s="39">
        <f t="shared" si="15"/>
        <v>611.18605496447026</v>
      </c>
      <c r="N100" s="63">
        <f t="shared" si="16"/>
        <v>23.721757199999999</v>
      </c>
      <c r="O100" s="63">
        <f t="shared" si="17"/>
        <v>14.747919506292666</v>
      </c>
      <c r="P100" s="153">
        <f t="shared" si="18"/>
        <v>8.973837693707333</v>
      </c>
      <c r="Q100" s="114">
        <f t="shared" si="19"/>
        <v>0.62170434432625699</v>
      </c>
      <c r="R100" s="106">
        <f t="shared" si="20"/>
        <v>3.3528857128678475</v>
      </c>
      <c r="S100" s="16"/>
      <c r="T100" s="16"/>
      <c r="U100" s="16"/>
      <c r="V100" s="16"/>
      <c r="W100" s="16"/>
      <c r="X100" s="16"/>
      <c r="Y100" s="16"/>
      <c r="Z100" s="16"/>
      <c r="AA100" s="16"/>
      <c r="AB100" s="16"/>
      <c r="AC100" s="16"/>
      <c r="AD100" s="16"/>
      <c r="AE100" s="16"/>
      <c r="AF100" s="16"/>
      <c r="AG100" s="16"/>
      <c r="AH100" s="16"/>
      <c r="AI100" s="16"/>
      <c r="AJ100" s="63">
        <v>457.79117500000001</v>
      </c>
      <c r="AK100" s="16"/>
      <c r="AL100" s="16"/>
      <c r="AM100" s="16"/>
      <c r="AN100" s="16"/>
      <c r="AO100" s="216">
        <v>0.96343174870592463</v>
      </c>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row>
    <row r="101" spans="1:63">
      <c r="A101" s="16" t="s">
        <v>544</v>
      </c>
      <c r="B101" s="38">
        <v>85</v>
      </c>
      <c r="C101" s="61">
        <v>24.1</v>
      </c>
      <c r="D101" s="38" t="s">
        <v>481</v>
      </c>
      <c r="E101" s="38">
        <v>201.41</v>
      </c>
      <c r="F101" s="38">
        <v>186.995</v>
      </c>
      <c r="G101" s="38">
        <v>24.13</v>
      </c>
      <c r="H101" s="38">
        <v>2.9</v>
      </c>
      <c r="I101" s="61">
        <v>95.75</v>
      </c>
      <c r="J101" s="38">
        <v>3087</v>
      </c>
      <c r="K101" s="55"/>
      <c r="L101" s="135">
        <f t="shared" si="14"/>
        <v>229.07092005067184</v>
      </c>
      <c r="M101" s="39">
        <f t="shared" si="15"/>
        <v>1184.1374560940292</v>
      </c>
      <c r="N101" s="63">
        <f t="shared" si="16"/>
        <v>37.662662949999998</v>
      </c>
      <c r="O101" s="63">
        <f t="shared" si="17"/>
        <v>28.573236815548924</v>
      </c>
      <c r="P101" s="146">
        <f t="shared" si="18"/>
        <v>9.0894261344510738</v>
      </c>
      <c r="Q101" s="114">
        <f t="shared" si="19"/>
        <v>0.75866214912848917</v>
      </c>
      <c r="R101" s="106">
        <f t="shared" si="20"/>
        <v>3.3545504195422269</v>
      </c>
      <c r="S101" s="16"/>
      <c r="T101" s="16"/>
      <c r="U101" s="16"/>
      <c r="V101" s="16"/>
      <c r="W101" s="16"/>
      <c r="X101" s="16"/>
      <c r="Y101" s="16"/>
      <c r="Z101" s="16"/>
      <c r="AA101" s="16"/>
      <c r="AB101" s="16"/>
      <c r="AC101" s="16"/>
      <c r="AD101" s="16"/>
      <c r="AE101" s="16"/>
      <c r="AF101" s="16"/>
      <c r="AG101" s="16"/>
      <c r="AH101" s="16"/>
      <c r="AI101" s="16"/>
      <c r="AJ101" s="63">
        <v>504.03972499999998</v>
      </c>
      <c r="AK101" s="16"/>
      <c r="AL101" s="16"/>
      <c r="AM101" s="16"/>
      <c r="AN101" s="16"/>
      <c r="AO101" s="216">
        <v>0.96354867214620821</v>
      </c>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row>
    <row r="102" spans="1:63">
      <c r="A102" s="16"/>
      <c r="B102" s="38">
        <v>85</v>
      </c>
      <c r="C102" s="61">
        <v>24.1</v>
      </c>
      <c r="D102" s="38" t="s">
        <v>481</v>
      </c>
      <c r="E102" s="38">
        <v>201.36</v>
      </c>
      <c r="F102" s="38">
        <v>256.89999999999998</v>
      </c>
      <c r="G102" s="38">
        <v>24.13</v>
      </c>
      <c r="H102" s="38">
        <v>4.33</v>
      </c>
      <c r="I102" s="61">
        <v>95.78</v>
      </c>
      <c r="J102" s="38">
        <v>3120</v>
      </c>
      <c r="K102" s="55"/>
      <c r="L102" s="135">
        <f t="shared" si="14"/>
        <v>231.44716987530646</v>
      </c>
      <c r="M102" s="39">
        <f t="shared" si="15"/>
        <v>1765.1124059944964</v>
      </c>
      <c r="N102" s="63">
        <f t="shared" si="16"/>
        <v>51.729383999999996</v>
      </c>
      <c r="O102" s="63">
        <f t="shared" si="17"/>
        <v>42.592162356647194</v>
      </c>
      <c r="P102" s="171">
        <f t="shared" si="18"/>
        <v>9.1372216433528024</v>
      </c>
      <c r="Q102" s="114">
        <f t="shared" si="19"/>
        <v>0.8233649632604787</v>
      </c>
      <c r="R102" s="106">
        <f t="shared" si="20"/>
        <v>3.3553833929280885</v>
      </c>
      <c r="S102" s="16"/>
      <c r="T102" s="16"/>
      <c r="U102" s="16"/>
      <c r="V102" s="16"/>
      <c r="W102" s="16"/>
      <c r="X102" s="16"/>
      <c r="Y102" s="16"/>
      <c r="Z102" s="16"/>
      <c r="AA102" s="16"/>
      <c r="AB102" s="16"/>
      <c r="AC102" s="16"/>
      <c r="AD102" s="16"/>
      <c r="AE102" s="16"/>
      <c r="AF102" s="16"/>
      <c r="AG102" s="16"/>
      <c r="AH102" s="16"/>
      <c r="AI102" s="16"/>
      <c r="AJ102" s="63">
        <v>520.86527999999998</v>
      </c>
      <c r="AK102" s="16"/>
      <c r="AL102" s="16"/>
      <c r="AM102" s="16"/>
      <c r="AN102" s="16"/>
      <c r="AO102" s="217">
        <v>0.96289640165284229</v>
      </c>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row>
    <row r="103" spans="1:63">
      <c r="A103" s="16"/>
      <c r="B103" s="38">
        <v>85</v>
      </c>
      <c r="C103" s="61">
        <v>24.1</v>
      </c>
      <c r="D103" s="38" t="s">
        <v>481</v>
      </c>
      <c r="E103" s="38">
        <v>201.35</v>
      </c>
      <c r="F103" s="38">
        <v>330.14</v>
      </c>
      <c r="G103" s="38">
        <v>24.13</v>
      </c>
      <c r="H103" s="38">
        <v>5.8</v>
      </c>
      <c r="I103" s="61">
        <v>95.74</v>
      </c>
      <c r="J103" s="38">
        <v>3164</v>
      </c>
      <c r="K103" s="55"/>
      <c r="L103" s="135">
        <f t="shared" si="14"/>
        <v>234.80923032933171</v>
      </c>
      <c r="M103" s="39">
        <f t="shared" si="15"/>
        <v>2362.229843000684</v>
      </c>
      <c r="N103" s="63">
        <f t="shared" si="16"/>
        <v>66.473688999999993</v>
      </c>
      <c r="O103" s="63">
        <f t="shared" si="17"/>
        <v>57.000606111606501</v>
      </c>
      <c r="P103" s="218">
        <f t="shared" si="18"/>
        <v>9.4730828883934919</v>
      </c>
      <c r="Q103" s="114">
        <f t="shared" si="19"/>
        <v>0.85749124155884449</v>
      </c>
      <c r="R103" s="106">
        <f t="shared" si="20"/>
        <v>3.3555500372485718</v>
      </c>
      <c r="S103" s="16"/>
      <c r="T103" s="16"/>
      <c r="U103" s="16"/>
      <c r="V103" s="16"/>
      <c r="W103" s="16"/>
      <c r="X103" s="16"/>
      <c r="Y103" s="16"/>
      <c r="Z103" s="16"/>
      <c r="AA103" s="16"/>
      <c r="AB103" s="16"/>
      <c r="AC103" s="16"/>
      <c r="AD103" s="16"/>
      <c r="AE103" s="16"/>
      <c r="AF103" s="16"/>
      <c r="AG103" s="16"/>
      <c r="AH103" s="16"/>
      <c r="AI103" s="16"/>
      <c r="AJ103" s="63">
        <v>9.2195500000000017</v>
      </c>
      <c r="AK103" s="16"/>
      <c r="AL103" s="16"/>
      <c r="AM103" s="16"/>
      <c r="AN103" s="16"/>
      <c r="AO103" s="16"/>
      <c r="AP103" s="114">
        <v>3.5991646439505268E-2</v>
      </c>
      <c r="AQ103" s="16"/>
      <c r="AR103" s="16"/>
      <c r="AS103" s="16"/>
      <c r="AT103" s="16"/>
      <c r="AU103" s="16"/>
      <c r="AV103" s="16"/>
      <c r="AW103" s="16"/>
      <c r="AX103" s="16"/>
      <c r="AY103" s="16"/>
      <c r="AZ103" s="16"/>
      <c r="BA103" s="16"/>
      <c r="BB103" s="16"/>
      <c r="BC103" s="16"/>
      <c r="BD103" s="16"/>
      <c r="BE103" s="16"/>
      <c r="BF103" s="16"/>
      <c r="BG103" s="16"/>
      <c r="BH103" s="16"/>
      <c r="BI103" s="16"/>
      <c r="BJ103" s="16"/>
      <c r="BK103" s="16"/>
    </row>
    <row r="104" spans="1:63">
      <c r="A104" s="16" t="s">
        <v>550</v>
      </c>
      <c r="B104" s="38">
        <v>85</v>
      </c>
      <c r="C104" s="61">
        <v>24.1</v>
      </c>
      <c r="D104" s="38" t="s">
        <v>481</v>
      </c>
      <c r="E104" s="38">
        <v>201.42</v>
      </c>
      <c r="F104" s="38">
        <v>400.19</v>
      </c>
      <c r="G104" s="38">
        <v>24.14</v>
      </c>
      <c r="H104" s="38">
        <v>7.2649999999999997</v>
      </c>
      <c r="I104" s="61">
        <v>95.82</v>
      </c>
      <c r="J104" s="38">
        <v>3199</v>
      </c>
      <c r="K104" s="55"/>
      <c r="L104" s="135">
        <f t="shared" si="14"/>
        <v>237.20846702474748</v>
      </c>
      <c r="M104" s="39">
        <f t="shared" si="15"/>
        <v>2957.2067713698925</v>
      </c>
      <c r="N104" s="63">
        <f t="shared" si="16"/>
        <v>80.606269799999993</v>
      </c>
      <c r="O104" s="63">
        <f t="shared" si="17"/>
        <v>71.386971460869205</v>
      </c>
      <c r="P104" s="172">
        <f t="shared" si="18"/>
        <v>9.2192983391307877</v>
      </c>
      <c r="Q104" s="114">
        <f t="shared" si="19"/>
        <v>0.88562554300049268</v>
      </c>
      <c r="R104" s="106">
        <f t="shared" si="20"/>
        <v>3.3557740045675706</v>
      </c>
      <c r="S104" s="16"/>
      <c r="T104" s="16"/>
      <c r="U104" s="16"/>
      <c r="V104" s="16"/>
      <c r="W104" s="16"/>
      <c r="X104" s="16"/>
      <c r="Y104" s="16"/>
      <c r="Z104" s="16"/>
      <c r="AA104" s="16"/>
      <c r="AB104" s="16"/>
      <c r="AC104" s="16"/>
      <c r="AD104" s="16"/>
      <c r="AE104" s="16"/>
      <c r="AF104" s="16"/>
      <c r="AG104" s="16"/>
      <c r="AH104" s="16"/>
      <c r="AI104" s="16"/>
      <c r="AJ104" s="63">
        <v>23.246400000000001</v>
      </c>
      <c r="AK104" s="16"/>
      <c r="AL104" s="16"/>
      <c r="AM104" s="16"/>
      <c r="AN104" s="16"/>
      <c r="AO104" s="16"/>
      <c r="AP104" s="114">
        <v>0.62636984718724653</v>
      </c>
      <c r="AQ104" s="16"/>
      <c r="AR104" s="16"/>
      <c r="AS104" s="16"/>
      <c r="AT104" s="16"/>
      <c r="AU104" s="16"/>
      <c r="AV104" s="16"/>
      <c r="AW104" s="16"/>
      <c r="AX104" s="16"/>
      <c r="AY104" s="16"/>
      <c r="AZ104" s="16"/>
      <c r="BA104" s="16"/>
      <c r="BB104" s="16"/>
      <c r="BC104" s="16"/>
      <c r="BD104" s="16"/>
      <c r="BE104" s="16"/>
      <c r="BF104" s="16"/>
      <c r="BG104" s="16"/>
      <c r="BH104" s="16"/>
      <c r="BI104" s="16"/>
      <c r="BJ104" s="16"/>
      <c r="BK104" s="16"/>
    </row>
    <row r="105" spans="1:63">
      <c r="A105" s="16" t="s">
        <v>551</v>
      </c>
      <c r="B105" s="38">
        <v>85</v>
      </c>
      <c r="C105" s="61">
        <v>24.1</v>
      </c>
      <c r="D105" s="38" t="s">
        <v>481</v>
      </c>
      <c r="E105" s="38">
        <v>201.4</v>
      </c>
      <c r="F105" s="38">
        <v>478.25</v>
      </c>
      <c r="G105" s="38">
        <v>24.13</v>
      </c>
      <c r="H105" s="38">
        <v>8.81</v>
      </c>
      <c r="I105" s="61">
        <v>95.75</v>
      </c>
      <c r="J105" s="38">
        <v>3245</v>
      </c>
      <c r="K105" s="55"/>
      <c r="L105" s="135">
        <f t="shared" si="14"/>
        <v>240.79531440376743</v>
      </c>
      <c r="M105" s="39">
        <f t="shared" si="15"/>
        <v>3584.5554802872275</v>
      </c>
      <c r="N105" s="63">
        <f t="shared" si="16"/>
        <v>96.319550000000007</v>
      </c>
      <c r="O105" s="63">
        <f t="shared" si="17"/>
        <v>86.4953237393308</v>
      </c>
      <c r="P105" s="192">
        <f t="shared" si="18"/>
        <v>9.8242262606692066</v>
      </c>
      <c r="Q105" s="114">
        <f t="shared" si="19"/>
        <v>0.89800381894777115</v>
      </c>
      <c r="R105" s="106">
        <f t="shared" si="20"/>
        <v>3.3547169811320749</v>
      </c>
      <c r="S105" s="16"/>
      <c r="T105" s="16"/>
      <c r="U105" s="16"/>
      <c r="V105" s="16"/>
      <c r="W105" s="16"/>
      <c r="X105" s="16"/>
      <c r="Y105" s="16"/>
      <c r="Z105" s="16"/>
      <c r="AA105" s="16"/>
      <c r="AB105" s="16"/>
      <c r="AC105" s="16"/>
      <c r="AD105" s="16"/>
      <c r="AE105" s="16"/>
      <c r="AF105" s="16"/>
      <c r="AG105" s="16"/>
      <c r="AH105" s="16"/>
      <c r="AI105" s="16"/>
      <c r="AJ105" s="63">
        <v>37.109449999999995</v>
      </c>
      <c r="AK105" s="16"/>
      <c r="AL105" s="16"/>
      <c r="AM105" s="16"/>
      <c r="AN105" s="16"/>
      <c r="AO105" s="16"/>
      <c r="AP105" s="114">
        <v>0.75738917060058197</v>
      </c>
      <c r="AQ105" s="16"/>
      <c r="AR105" s="16"/>
      <c r="AS105" s="16"/>
      <c r="AT105" s="16"/>
      <c r="AU105" s="16"/>
      <c r="AV105" s="16"/>
      <c r="AW105" s="16"/>
      <c r="AX105" s="16"/>
      <c r="AY105" s="16"/>
      <c r="AZ105" s="16"/>
      <c r="BA105" s="16"/>
      <c r="BB105" s="16"/>
      <c r="BC105" s="16"/>
      <c r="BD105" s="16"/>
      <c r="BE105" s="16"/>
      <c r="BF105" s="16"/>
      <c r="BG105" s="16"/>
      <c r="BH105" s="16"/>
      <c r="BI105" s="16"/>
      <c r="BJ105" s="16"/>
      <c r="BK105" s="16"/>
    </row>
    <row r="106" spans="1:63">
      <c r="A106" s="16" t="s">
        <v>552</v>
      </c>
      <c r="B106" s="38">
        <v>85</v>
      </c>
      <c r="C106" s="61">
        <v>24.1</v>
      </c>
      <c r="D106" s="38" t="s">
        <v>481</v>
      </c>
      <c r="E106" s="38">
        <v>201.44</v>
      </c>
      <c r="F106" s="38">
        <v>552.9</v>
      </c>
      <c r="G106" s="38">
        <v>24.135000000000002</v>
      </c>
      <c r="H106" s="38">
        <v>10.335000000000001</v>
      </c>
      <c r="I106" s="61">
        <v>95.7</v>
      </c>
      <c r="J106" s="38">
        <v>3261</v>
      </c>
      <c r="K106" s="55"/>
      <c r="L106" s="135">
        <f t="shared" si="14"/>
        <v>242.1090225325938</v>
      </c>
      <c r="M106" s="39">
        <f t="shared" si="15"/>
        <v>4203.6639460968909</v>
      </c>
      <c r="N106" s="63">
        <f t="shared" si="16"/>
        <v>111.37617599999999</v>
      </c>
      <c r="O106" s="63">
        <f t="shared" si="17"/>
        <v>101.45542933904846</v>
      </c>
      <c r="P106" s="219">
        <f t="shared" si="18"/>
        <v>9.9207466609515222</v>
      </c>
      <c r="Q106" s="220">
        <f t="shared" si="19"/>
        <v>0.91092577409955677</v>
      </c>
      <c r="R106" s="106">
        <f t="shared" si="20"/>
        <v>3.3547458300238282</v>
      </c>
      <c r="S106" s="16"/>
      <c r="T106" s="16"/>
      <c r="U106" s="16"/>
      <c r="V106" s="16"/>
      <c r="W106" s="16"/>
      <c r="X106" s="16"/>
      <c r="Y106" s="16"/>
      <c r="Z106" s="16"/>
      <c r="AA106" s="16"/>
      <c r="AB106" s="16"/>
      <c r="AC106" s="16"/>
      <c r="AD106" s="16"/>
      <c r="AE106" s="16"/>
      <c r="AF106" s="16"/>
      <c r="AG106" s="16"/>
      <c r="AH106" s="16"/>
      <c r="AI106" s="16"/>
      <c r="AJ106" s="63">
        <v>51.082875000000001</v>
      </c>
      <c r="AK106" s="16"/>
      <c r="AL106" s="16"/>
      <c r="AM106" s="16"/>
      <c r="AN106" s="16"/>
      <c r="AO106" s="16"/>
      <c r="AP106" s="114">
        <v>0.81894259793623525</v>
      </c>
      <c r="AQ106" s="16"/>
      <c r="AR106" s="16"/>
      <c r="AS106" s="16"/>
      <c r="AT106" s="16"/>
      <c r="AU106" s="16"/>
      <c r="AV106" s="16"/>
      <c r="AW106" s="16"/>
      <c r="AX106" s="16"/>
      <c r="AY106" s="16"/>
      <c r="AZ106" s="16"/>
      <c r="BA106" s="16"/>
      <c r="BB106" s="16"/>
      <c r="BC106" s="16"/>
      <c r="BD106" s="16"/>
      <c r="BE106" s="16"/>
      <c r="BF106" s="16"/>
      <c r="BG106" s="16"/>
      <c r="BH106" s="16"/>
      <c r="BI106" s="16"/>
      <c r="BJ106" s="16"/>
      <c r="BK106" s="16"/>
    </row>
    <row r="107" spans="1:63">
      <c r="A107" s="16" t="s">
        <v>541</v>
      </c>
      <c r="B107" s="38">
        <v>85</v>
      </c>
      <c r="C107" s="61">
        <v>24.1</v>
      </c>
      <c r="D107" s="38" t="s">
        <v>481</v>
      </c>
      <c r="E107" s="38">
        <v>201.4</v>
      </c>
      <c r="F107" s="38">
        <v>644.70000000000005</v>
      </c>
      <c r="G107" s="38">
        <v>24.14</v>
      </c>
      <c r="H107" s="38">
        <v>11.84</v>
      </c>
      <c r="I107" s="61">
        <v>95.18</v>
      </c>
      <c r="J107" s="38">
        <v>3401</v>
      </c>
      <c r="K107" s="55"/>
      <c r="L107" s="135">
        <f t="shared" si="14"/>
        <v>253.88266285662502</v>
      </c>
      <c r="M107" s="39">
        <f t="shared" si="15"/>
        <v>4814.5368290290589</v>
      </c>
      <c r="N107" s="63">
        <f t="shared" si="16"/>
        <v>129.84258000000003</v>
      </c>
      <c r="O107" s="63">
        <f t="shared" si="17"/>
        <v>116.22291905276148</v>
      </c>
      <c r="P107" s="221">
        <f t="shared" si="18"/>
        <v>13.619660947238543</v>
      </c>
      <c r="Q107" s="114">
        <f t="shared" si="19"/>
        <v>0.89510635919866544</v>
      </c>
      <c r="R107" s="106">
        <f t="shared" si="20"/>
        <v>3.356107249255214</v>
      </c>
      <c r="S107" s="18">
        <v>2</v>
      </c>
      <c r="T107" s="16"/>
      <c r="U107" s="16"/>
      <c r="V107" s="16"/>
      <c r="W107" s="18">
        <v>78</v>
      </c>
      <c r="X107" s="18">
        <v>88</v>
      </c>
      <c r="Y107" s="16"/>
      <c r="Z107" s="16"/>
      <c r="AA107" s="16"/>
      <c r="AB107" s="16"/>
      <c r="AC107" s="16"/>
      <c r="AD107" s="16"/>
      <c r="AE107" s="16"/>
      <c r="AF107" s="16"/>
      <c r="AG107" s="16"/>
      <c r="AH107" s="16"/>
      <c r="AI107" s="16"/>
      <c r="AJ107" s="63">
        <v>79.909725000000009</v>
      </c>
      <c r="AK107" s="16"/>
      <c r="AL107" s="16"/>
      <c r="AM107" s="16"/>
      <c r="AN107" s="16"/>
      <c r="AO107" s="16"/>
      <c r="AP107" s="114">
        <v>0.87819244321445122</v>
      </c>
      <c r="AQ107" s="16"/>
      <c r="AR107" s="16"/>
      <c r="AS107" s="16"/>
      <c r="AT107" s="16"/>
      <c r="AU107" s="16"/>
      <c r="AV107" s="16"/>
      <c r="AW107" s="16"/>
      <c r="AX107" s="16"/>
      <c r="AY107" s="16"/>
      <c r="AZ107" s="16"/>
      <c r="BA107" s="16"/>
      <c r="BB107" s="16"/>
      <c r="BC107" s="16"/>
      <c r="BD107" s="16"/>
      <c r="BE107" s="16"/>
      <c r="BF107" s="16"/>
      <c r="BG107" s="16"/>
      <c r="BH107" s="16"/>
      <c r="BI107" s="16"/>
      <c r="BJ107" s="16"/>
      <c r="BK107" s="16"/>
    </row>
    <row r="108" spans="1:63">
      <c r="A108" s="16" t="s">
        <v>541</v>
      </c>
      <c r="B108" s="38">
        <v>85</v>
      </c>
      <c r="C108" s="61">
        <v>24.1</v>
      </c>
      <c r="D108" s="38" t="s">
        <v>481</v>
      </c>
      <c r="E108" s="38">
        <v>201.41</v>
      </c>
      <c r="F108" s="38">
        <v>725.4</v>
      </c>
      <c r="G108" s="38">
        <v>24.14</v>
      </c>
      <c r="H108" s="38">
        <v>13.445</v>
      </c>
      <c r="I108" s="61">
        <v>95.02</v>
      </c>
      <c r="J108" s="38">
        <v>3392</v>
      </c>
      <c r="K108" s="55"/>
      <c r="L108" s="135">
        <f t="shared" si="14"/>
        <v>253.63718867818662</v>
      </c>
      <c r="M108" s="39">
        <f t="shared" si="15"/>
        <v>5465.8721587810969</v>
      </c>
      <c r="N108" s="63">
        <f t="shared" si="16"/>
        <v>146.102814</v>
      </c>
      <c r="O108" s="63">
        <f t="shared" si="17"/>
        <v>131.94615391297569</v>
      </c>
      <c r="P108" s="222">
        <f t="shared" si="18"/>
        <v>14.156660087024306</v>
      </c>
      <c r="Q108" s="223">
        <f t="shared" si="19"/>
        <v>0.90310480887093447</v>
      </c>
      <c r="R108" s="106">
        <f t="shared" si="20"/>
        <v>3.355940618638598</v>
      </c>
      <c r="S108" s="18">
        <v>1</v>
      </c>
      <c r="T108" s="16"/>
      <c r="U108" s="16"/>
      <c r="V108" s="16"/>
      <c r="W108" s="18">
        <v>86</v>
      </c>
      <c r="X108" s="18">
        <v>94</v>
      </c>
      <c r="Y108" s="16"/>
      <c r="Z108" s="16"/>
      <c r="AA108" s="16"/>
      <c r="AB108" s="16"/>
      <c r="AC108" s="16"/>
      <c r="AD108" s="16"/>
      <c r="AE108" s="16"/>
      <c r="AF108" s="16"/>
      <c r="AG108" s="16"/>
      <c r="AH108" s="16"/>
      <c r="AI108" s="16"/>
      <c r="AJ108" s="63">
        <v>109.44298500000001</v>
      </c>
      <c r="AK108" s="16"/>
      <c r="AL108" s="16"/>
      <c r="AM108" s="16"/>
      <c r="AN108" s="16"/>
      <c r="AO108" s="16"/>
      <c r="AP108" s="224">
        <v>0.90635441333124311</v>
      </c>
      <c r="AQ108" s="16"/>
      <c r="AR108" s="16"/>
      <c r="AS108" s="16"/>
      <c r="AT108" s="16"/>
      <c r="AU108" s="16"/>
      <c r="AV108" s="16"/>
      <c r="AW108" s="16"/>
      <c r="AX108" s="16"/>
      <c r="AY108" s="16"/>
      <c r="AZ108" s="16"/>
      <c r="BA108" s="16"/>
      <c r="BB108" s="16"/>
      <c r="BC108" s="16"/>
      <c r="BD108" s="16"/>
      <c r="BE108" s="16"/>
      <c r="BF108" s="16"/>
      <c r="BG108" s="16"/>
      <c r="BH108" s="16"/>
      <c r="BI108" s="16"/>
      <c r="BJ108" s="16"/>
      <c r="BK108" s="16"/>
    </row>
    <row r="109" spans="1:63">
      <c r="A109" s="16" t="s">
        <v>541</v>
      </c>
      <c r="B109" s="38">
        <v>85</v>
      </c>
      <c r="C109" s="61">
        <v>24.1</v>
      </c>
      <c r="D109" s="38" t="s">
        <v>481</v>
      </c>
      <c r="E109" s="38">
        <v>201.41</v>
      </c>
      <c r="F109" s="38">
        <v>809.4</v>
      </c>
      <c r="G109" s="38">
        <v>24.14</v>
      </c>
      <c r="H109" s="38">
        <v>15.15</v>
      </c>
      <c r="I109" s="61">
        <v>94.86</v>
      </c>
      <c r="J109" s="38">
        <v>3414</v>
      </c>
      <c r="K109" s="55"/>
      <c r="L109" s="135">
        <f t="shared" si="14"/>
        <v>255.71282478112985</v>
      </c>
      <c r="M109" s="39">
        <f t="shared" si="15"/>
        <v>6157.6454118466663</v>
      </c>
      <c r="N109" s="63">
        <f t="shared" si="16"/>
        <v>163.021254</v>
      </c>
      <c r="O109" s="63">
        <f t="shared" si="17"/>
        <v>148.64556024197853</v>
      </c>
      <c r="P109" s="225">
        <f t="shared" si="18"/>
        <v>14.37569375802147</v>
      </c>
      <c r="Q109" s="226">
        <f t="shared" si="19"/>
        <v>0.91181705817315406</v>
      </c>
      <c r="R109" s="106">
        <f t="shared" si="20"/>
        <v>3.355940618638598</v>
      </c>
      <c r="S109" s="18">
        <v>1</v>
      </c>
      <c r="T109" s="16"/>
      <c r="U109" s="16"/>
      <c r="V109" s="16"/>
      <c r="W109" s="18">
        <v>91</v>
      </c>
      <c r="X109" s="18">
        <v>101</v>
      </c>
      <c r="Y109" s="16"/>
      <c r="Z109" s="16"/>
      <c r="AA109" s="16"/>
      <c r="AB109" s="16"/>
      <c r="AC109" s="16"/>
      <c r="AD109" s="16"/>
      <c r="AE109" s="16"/>
      <c r="AF109" s="16"/>
      <c r="AG109" s="16"/>
      <c r="AH109" s="16"/>
      <c r="AI109" s="16"/>
      <c r="AJ109" s="63">
        <v>156.35718000000003</v>
      </c>
      <c r="AK109" s="16"/>
      <c r="AL109" s="16"/>
      <c r="AM109" s="16"/>
      <c r="AN109" s="16"/>
      <c r="AO109" s="16"/>
      <c r="AP109" s="227">
        <v>0.93102159742167745</v>
      </c>
      <c r="AQ109" s="16"/>
      <c r="AR109" s="16"/>
      <c r="AS109" s="16"/>
      <c r="AT109" s="16"/>
      <c r="AU109" s="16"/>
      <c r="AV109" s="16"/>
      <c r="AW109" s="16"/>
      <c r="AX109" s="16"/>
      <c r="AY109" s="16"/>
      <c r="AZ109" s="16"/>
      <c r="BA109" s="16"/>
      <c r="BB109" s="16"/>
      <c r="BC109" s="16"/>
      <c r="BD109" s="16"/>
      <c r="BE109" s="16"/>
      <c r="BF109" s="16"/>
      <c r="BG109" s="16"/>
      <c r="BH109" s="16"/>
      <c r="BI109" s="16"/>
      <c r="BJ109" s="16"/>
      <c r="BK109" s="16"/>
    </row>
    <row r="110" spans="1:63">
      <c r="A110" s="16" t="s">
        <v>541</v>
      </c>
      <c r="B110" s="38">
        <v>85</v>
      </c>
      <c r="C110" s="61">
        <v>24.1</v>
      </c>
      <c r="D110" s="38" t="s">
        <v>481</v>
      </c>
      <c r="E110" s="38">
        <v>201.41</v>
      </c>
      <c r="F110" s="38">
        <v>893</v>
      </c>
      <c r="G110" s="38">
        <v>24.145</v>
      </c>
      <c r="H110" s="38">
        <v>16.79</v>
      </c>
      <c r="I110" s="61">
        <v>94.77</v>
      </c>
      <c r="J110" s="38">
        <v>3474</v>
      </c>
      <c r="K110" s="55"/>
      <c r="L110" s="135">
        <f t="shared" si="14"/>
        <v>260.45400909591473</v>
      </c>
      <c r="M110" s="39">
        <f t="shared" si="15"/>
        <v>6822.9063776027779</v>
      </c>
      <c r="N110" s="63">
        <f t="shared" si="16"/>
        <v>179.85912999999999</v>
      </c>
      <c r="O110" s="63">
        <f t="shared" si="17"/>
        <v>164.73907448721906</v>
      </c>
      <c r="P110" s="228">
        <f t="shared" si="18"/>
        <v>15.120055512780937</v>
      </c>
      <c r="Q110" s="229">
        <f t="shared" si="19"/>
        <v>0.91593390053215018</v>
      </c>
      <c r="R110" s="106">
        <f t="shared" si="20"/>
        <v>3.3566357181867827</v>
      </c>
      <c r="S110" s="18">
        <v>1</v>
      </c>
      <c r="T110" s="16"/>
      <c r="U110" s="16"/>
      <c r="V110" s="16"/>
      <c r="W110" s="18">
        <v>98</v>
      </c>
      <c r="X110" s="18">
        <v>107</v>
      </c>
      <c r="Y110" s="16"/>
      <c r="Z110" s="16"/>
      <c r="AA110" s="16"/>
      <c r="AB110" s="16"/>
      <c r="AC110" s="16"/>
      <c r="AD110" s="16"/>
      <c r="AE110" s="16"/>
      <c r="AF110" s="16"/>
      <c r="AG110" s="16"/>
      <c r="AH110" s="16"/>
      <c r="AI110" s="16"/>
      <c r="AJ110" s="63">
        <v>204.07650000000001</v>
      </c>
      <c r="AK110" s="16"/>
      <c r="AL110" s="16"/>
      <c r="AM110" s="16"/>
      <c r="AN110" s="16"/>
      <c r="AO110" s="16"/>
      <c r="AP110" s="230">
        <v>0.94370035082933001</v>
      </c>
      <c r="AQ110" s="16"/>
      <c r="AR110" s="16"/>
      <c r="AS110" s="16"/>
      <c r="AT110" s="16"/>
      <c r="AU110" s="16"/>
      <c r="AV110" s="16"/>
      <c r="AW110" s="16"/>
      <c r="AX110" s="16"/>
      <c r="AY110" s="16"/>
      <c r="AZ110" s="16"/>
      <c r="BA110" s="16"/>
      <c r="BB110" s="16"/>
      <c r="BC110" s="16"/>
      <c r="BD110" s="16"/>
      <c r="BE110" s="16"/>
      <c r="BF110" s="16"/>
      <c r="BG110" s="16"/>
      <c r="BH110" s="16"/>
      <c r="BI110" s="16"/>
      <c r="BJ110" s="16"/>
      <c r="BK110" s="16"/>
    </row>
    <row r="111" spans="1:63">
      <c r="A111" s="16" t="s">
        <v>546</v>
      </c>
      <c r="B111" s="38">
        <v>85</v>
      </c>
      <c r="C111" s="61">
        <v>24.1</v>
      </c>
      <c r="D111" s="38" t="s">
        <v>481</v>
      </c>
      <c r="E111" s="38">
        <v>201.42</v>
      </c>
      <c r="F111" s="38">
        <v>968.15</v>
      </c>
      <c r="G111" s="38">
        <v>24.15</v>
      </c>
      <c r="H111" s="38">
        <v>18.46</v>
      </c>
      <c r="I111" s="61">
        <v>94.64</v>
      </c>
      <c r="J111" s="38">
        <v>3474</v>
      </c>
      <c r="K111" s="55"/>
      <c r="L111" s="135">
        <f t="shared" si="14"/>
        <v>260.8117755919256</v>
      </c>
      <c r="M111" s="39">
        <f t="shared" si="15"/>
        <v>7500.1959843054274</v>
      </c>
      <c r="N111" s="63">
        <f t="shared" si="16"/>
        <v>195.004773</v>
      </c>
      <c r="O111" s="63">
        <f t="shared" si="17"/>
        <v>181.12973302097606</v>
      </c>
      <c r="P111" s="231">
        <f t="shared" si="18"/>
        <v>13.875039979023938</v>
      </c>
      <c r="Q111" s="232">
        <f t="shared" si="19"/>
        <v>0.92884769041512671</v>
      </c>
      <c r="R111" s="106">
        <f t="shared" si="20"/>
        <v>3.3571641346440275</v>
      </c>
      <c r="S111" s="18">
        <v>2</v>
      </c>
      <c r="T111" s="18">
        <v>68</v>
      </c>
      <c r="U111" s="18">
        <v>71</v>
      </c>
      <c r="V111" s="18">
        <v>72</v>
      </c>
      <c r="W111" s="18">
        <v>91</v>
      </c>
      <c r="X111" s="18">
        <v>105</v>
      </c>
      <c r="Y111" s="18">
        <v>97</v>
      </c>
      <c r="Z111" s="18">
        <v>71</v>
      </c>
      <c r="AA111" s="18">
        <v>92</v>
      </c>
      <c r="AB111" s="16"/>
      <c r="AC111" s="18">
        <v>24</v>
      </c>
      <c r="AD111" s="18">
        <v>50</v>
      </c>
      <c r="AE111" s="18">
        <v>31</v>
      </c>
      <c r="AF111" s="16"/>
      <c r="AG111" s="16"/>
      <c r="AH111" s="16"/>
      <c r="AI111" s="16"/>
      <c r="AJ111" s="63">
        <v>237.38967</v>
      </c>
      <c r="AK111" s="16"/>
      <c r="AL111" s="16"/>
      <c r="AM111" s="16"/>
      <c r="AN111" s="16"/>
      <c r="AO111" s="16"/>
      <c r="AP111" s="233">
        <v>0.94983412755905161</v>
      </c>
      <c r="AQ111" s="16"/>
      <c r="AR111" s="16"/>
      <c r="AS111" s="16"/>
      <c r="AT111" s="16"/>
      <c r="AU111" s="16"/>
      <c r="AV111" s="16"/>
      <c r="AW111" s="16"/>
      <c r="AX111" s="16"/>
      <c r="AY111" s="16"/>
      <c r="AZ111" s="16"/>
      <c r="BA111" s="16"/>
      <c r="BB111" s="16"/>
      <c r="BC111" s="16"/>
      <c r="BD111" s="16"/>
      <c r="BE111" s="16"/>
      <c r="BF111" s="16"/>
      <c r="BG111" s="16"/>
      <c r="BH111" s="16"/>
      <c r="BI111" s="16"/>
      <c r="BJ111" s="16"/>
      <c r="BK111" s="16"/>
    </row>
    <row r="112" spans="1:63">
      <c r="A112" s="16" t="s">
        <v>553</v>
      </c>
      <c r="B112" s="38">
        <v>85</v>
      </c>
      <c r="C112" s="61">
        <v>24.1</v>
      </c>
      <c r="D112" s="38" t="s">
        <v>481</v>
      </c>
      <c r="E112" s="38">
        <v>201.44</v>
      </c>
      <c r="F112" s="38">
        <v>1038.7</v>
      </c>
      <c r="G112" s="38">
        <v>24.15</v>
      </c>
      <c r="H112" s="38">
        <v>20.100000000000001</v>
      </c>
      <c r="I112" s="61">
        <v>94.49</v>
      </c>
      <c r="J112" s="38">
        <v>3470</v>
      </c>
      <c r="K112" s="55"/>
      <c r="L112" s="135">
        <f t="shared" si="14"/>
        <v>260.92502821957584</v>
      </c>
      <c r="M112" s="39">
        <f t="shared" si="15"/>
        <v>8165.1804736299664</v>
      </c>
      <c r="N112" s="63">
        <f t="shared" si="16"/>
        <v>209.23572799999999</v>
      </c>
      <c r="O112" s="63">
        <f t="shared" si="17"/>
        <v>197.18910843816369</v>
      </c>
      <c r="P112" s="159">
        <f t="shared" si="18"/>
        <v>12.046619561836309</v>
      </c>
      <c r="Q112" s="234">
        <f t="shared" si="19"/>
        <v>0.9424256092542842</v>
      </c>
      <c r="R112" s="106">
        <f t="shared" si="20"/>
        <v>3.3568308181096111</v>
      </c>
      <c r="S112" s="18">
        <v>2</v>
      </c>
      <c r="T112" s="16"/>
      <c r="U112" s="16"/>
      <c r="V112" s="16"/>
      <c r="W112" s="18">
        <v>93</v>
      </c>
      <c r="X112" s="18">
        <v>75</v>
      </c>
      <c r="Y112" s="16"/>
      <c r="Z112" s="16"/>
      <c r="AA112" s="16"/>
      <c r="AB112" s="16"/>
      <c r="AC112" s="16"/>
      <c r="AD112" s="16"/>
      <c r="AE112" s="16"/>
      <c r="AF112" s="16"/>
      <c r="AG112" s="16"/>
      <c r="AH112" s="16"/>
      <c r="AI112" s="16"/>
      <c r="AJ112" s="63">
        <v>289.24384000000003</v>
      </c>
      <c r="AK112" s="16"/>
      <c r="AL112" s="16"/>
      <c r="AM112" s="16"/>
      <c r="AN112" s="16"/>
      <c r="AO112" s="16"/>
      <c r="AP112" s="183">
        <v>0.95613461963348845</v>
      </c>
      <c r="AQ112" s="16"/>
      <c r="AR112" s="16"/>
      <c r="AS112" s="16"/>
      <c r="AT112" s="16"/>
      <c r="AU112" s="16"/>
      <c r="AV112" s="16"/>
      <c r="AW112" s="16"/>
      <c r="AX112" s="16"/>
      <c r="AY112" s="16"/>
      <c r="AZ112" s="16"/>
      <c r="BA112" s="16"/>
      <c r="BB112" s="16"/>
      <c r="BC112" s="16"/>
      <c r="BD112" s="16"/>
      <c r="BE112" s="16"/>
      <c r="BF112" s="16"/>
      <c r="BG112" s="16"/>
      <c r="BH112" s="16"/>
      <c r="BI112" s="16"/>
      <c r="BJ112" s="16"/>
      <c r="BK112" s="16"/>
    </row>
    <row r="113" spans="1:63">
      <c r="A113" s="16" t="s">
        <v>547</v>
      </c>
      <c r="B113" s="38">
        <v>85</v>
      </c>
      <c r="C113" s="61">
        <v>24.1</v>
      </c>
      <c r="D113" s="38" t="s">
        <v>481</v>
      </c>
      <c r="E113" s="38">
        <v>201.38</v>
      </c>
      <c r="F113" s="38">
        <v>1115.8</v>
      </c>
      <c r="G113" s="38">
        <v>24.15</v>
      </c>
      <c r="H113" s="38">
        <v>21.82</v>
      </c>
      <c r="I113" s="61">
        <v>94.3</v>
      </c>
      <c r="J113" s="38">
        <v>3458</v>
      </c>
      <c r="K113" s="55"/>
      <c r="L113" s="135">
        <f t="shared" si="14"/>
        <v>260.54659957382131</v>
      </c>
      <c r="M113" s="39">
        <f t="shared" si="15"/>
        <v>8862.4560591295212</v>
      </c>
      <c r="N113" s="63">
        <f t="shared" si="16"/>
        <v>224.69980399999997</v>
      </c>
      <c r="O113" s="63">
        <f t="shared" si="17"/>
        <v>214.02831382797791</v>
      </c>
      <c r="P113" s="235">
        <f t="shared" si="18"/>
        <v>10.671490172022061</v>
      </c>
      <c r="Q113" s="180">
        <f t="shared" si="19"/>
        <v>0.95250779047398693</v>
      </c>
      <c r="R113" s="106">
        <f t="shared" si="20"/>
        <v>3.3578309663323074</v>
      </c>
      <c r="S113" s="16"/>
      <c r="T113" s="16"/>
      <c r="U113" s="16"/>
      <c r="V113" s="16"/>
      <c r="W113" s="16"/>
      <c r="X113" s="16"/>
      <c r="Y113" s="16"/>
      <c r="Z113" s="16"/>
      <c r="AA113" s="16"/>
      <c r="AB113" s="16"/>
      <c r="AC113" s="16"/>
      <c r="AD113" s="16"/>
      <c r="AE113" s="16"/>
      <c r="AF113" s="16"/>
      <c r="AG113" s="16"/>
      <c r="AH113" s="16"/>
      <c r="AI113" s="16"/>
      <c r="AJ113" s="63">
        <v>326.11766000000006</v>
      </c>
      <c r="AK113" s="16"/>
      <c r="AL113" s="16"/>
      <c r="AM113" s="16"/>
      <c r="AN113" s="16"/>
      <c r="AO113" s="16"/>
      <c r="AP113" s="236">
        <v>0.95738609701524302</v>
      </c>
      <c r="AQ113" s="16"/>
      <c r="AR113" s="16"/>
      <c r="AS113" s="16"/>
      <c r="AT113" s="16"/>
      <c r="AU113" s="16"/>
      <c r="AV113" s="16"/>
      <c r="AW113" s="16"/>
      <c r="AX113" s="16"/>
      <c r="AY113" s="16"/>
      <c r="AZ113" s="16"/>
      <c r="BA113" s="16"/>
      <c r="BB113" s="16"/>
      <c r="BC113" s="16"/>
      <c r="BD113" s="16"/>
      <c r="BE113" s="16"/>
      <c r="BF113" s="16"/>
      <c r="BG113" s="16"/>
      <c r="BH113" s="16"/>
      <c r="BI113" s="16"/>
      <c r="BJ113" s="16"/>
      <c r="BK113" s="16"/>
    </row>
    <row r="114" spans="1:63">
      <c r="A114" s="16"/>
      <c r="B114" s="38">
        <v>85</v>
      </c>
      <c r="C114" s="61">
        <v>24.1</v>
      </c>
      <c r="D114" s="38" t="s">
        <v>481</v>
      </c>
      <c r="E114" s="38">
        <v>202.03</v>
      </c>
      <c r="F114" s="38">
        <v>1201.3</v>
      </c>
      <c r="G114" s="38">
        <v>24.145</v>
      </c>
      <c r="H114" s="38">
        <v>23.61</v>
      </c>
      <c r="I114" s="61">
        <v>94.05</v>
      </c>
      <c r="J114" s="38">
        <v>3493</v>
      </c>
      <c r="K114" s="55"/>
      <c r="L114" s="135">
        <f t="shared" si="14"/>
        <v>263.88329546403435</v>
      </c>
      <c r="M114" s="39">
        <f t="shared" si="15"/>
        <v>9587.9491406983016</v>
      </c>
      <c r="N114" s="63">
        <f t="shared" si="16"/>
        <v>242.69863899999999</v>
      </c>
      <c r="O114" s="63">
        <f t="shared" si="17"/>
        <v>231.50103200216051</v>
      </c>
      <c r="P114" s="237">
        <f t="shared" si="18"/>
        <v>11.197606997839472</v>
      </c>
      <c r="Q114" s="238">
        <f t="shared" si="19"/>
        <v>0.95386209397804056</v>
      </c>
      <c r="R114" s="106">
        <f t="shared" si="20"/>
        <v>3.3463347027669159</v>
      </c>
      <c r="S114" s="18">
        <v>2</v>
      </c>
      <c r="T114" s="16"/>
      <c r="U114" s="16"/>
      <c r="V114" s="16"/>
      <c r="W114" s="18">
        <v>69</v>
      </c>
      <c r="X114" s="18">
        <v>75</v>
      </c>
      <c r="Y114" s="18">
        <v>97</v>
      </c>
      <c r="Z114" s="18">
        <v>67</v>
      </c>
      <c r="AA114" s="18">
        <v>93</v>
      </c>
      <c r="AB114" s="16"/>
      <c r="AC114" s="16"/>
      <c r="AD114" s="16"/>
      <c r="AE114" s="16"/>
      <c r="AF114" s="16"/>
      <c r="AG114" s="16"/>
      <c r="AH114" s="16"/>
      <c r="AI114" s="16"/>
      <c r="AJ114" s="63">
        <v>367.17632000000003</v>
      </c>
      <c r="AK114" s="16"/>
      <c r="AL114" s="16"/>
      <c r="AM114" s="16"/>
      <c r="AN114" s="16"/>
      <c r="AO114" s="16"/>
      <c r="AP114" s="239">
        <v>0.9590242365968511</v>
      </c>
      <c r="AQ114" s="16"/>
      <c r="AR114" s="16"/>
      <c r="AS114" s="16"/>
      <c r="AT114" s="16"/>
      <c r="AU114" s="16"/>
      <c r="AV114" s="16"/>
      <c r="AW114" s="16"/>
      <c r="AX114" s="16"/>
      <c r="AY114" s="16"/>
      <c r="AZ114" s="16"/>
      <c r="BA114" s="16"/>
      <c r="BB114" s="16"/>
      <c r="BC114" s="16"/>
      <c r="BD114" s="16"/>
      <c r="BE114" s="16"/>
      <c r="BF114" s="16"/>
      <c r="BG114" s="16"/>
      <c r="BH114" s="16"/>
      <c r="BI114" s="16"/>
      <c r="BJ114" s="16"/>
      <c r="BK114" s="16"/>
    </row>
    <row r="115" spans="1:63">
      <c r="A115" s="16"/>
      <c r="B115" s="38">
        <v>85</v>
      </c>
      <c r="C115" s="61">
        <v>24.1</v>
      </c>
      <c r="D115" s="38" t="s">
        <v>481</v>
      </c>
      <c r="E115" s="38">
        <v>202.19</v>
      </c>
      <c r="F115" s="38">
        <v>1280</v>
      </c>
      <c r="G115" s="38">
        <v>24.145</v>
      </c>
      <c r="H115" s="38">
        <v>25.24</v>
      </c>
      <c r="I115" s="61">
        <v>93.8</v>
      </c>
      <c r="J115" s="38">
        <v>3536</v>
      </c>
      <c r="K115" s="55"/>
      <c r="L115" s="135">
        <f t="shared" si="14"/>
        <v>267.84375893473094</v>
      </c>
      <c r="M115" s="39">
        <f t="shared" si="15"/>
        <v>10248.451717356385</v>
      </c>
      <c r="N115" s="63">
        <f t="shared" si="16"/>
        <v>258.8032</v>
      </c>
      <c r="O115" s="63">
        <f t="shared" si="17"/>
        <v>247.44886671556992</v>
      </c>
      <c r="P115" s="240">
        <f t="shared" si="18"/>
        <v>11.354333284430083</v>
      </c>
      <c r="Q115" s="241">
        <f t="shared" si="19"/>
        <v>0.95612753905504222</v>
      </c>
      <c r="R115" s="106">
        <f t="shared" si="20"/>
        <v>3.3436866313863196</v>
      </c>
      <c r="S115" s="16"/>
      <c r="T115" s="16"/>
      <c r="U115" s="16"/>
      <c r="V115" s="16"/>
      <c r="W115" s="16"/>
      <c r="X115" s="16"/>
      <c r="Y115" s="16"/>
      <c r="Z115" s="16"/>
      <c r="AA115" s="16"/>
      <c r="AB115" s="16"/>
      <c r="AC115" s="16"/>
      <c r="AD115" s="16"/>
      <c r="AE115" s="16"/>
      <c r="AF115" s="16"/>
      <c r="AG115" s="16"/>
      <c r="AH115" s="16"/>
      <c r="AI115" s="16"/>
      <c r="AJ115" s="63">
        <v>485.63387999999998</v>
      </c>
      <c r="AK115" s="16"/>
      <c r="AL115" s="16"/>
      <c r="AM115" s="16"/>
      <c r="AN115" s="16"/>
      <c r="AO115" s="16"/>
      <c r="AP115" s="242">
        <v>0.96476947564793836</v>
      </c>
      <c r="AQ115" s="16"/>
      <c r="AR115" s="16"/>
      <c r="AS115" s="16"/>
      <c r="AT115" s="16"/>
      <c r="AU115" s="16"/>
      <c r="AV115" s="16"/>
      <c r="AW115" s="16"/>
      <c r="AX115" s="16"/>
      <c r="AY115" s="16"/>
      <c r="AZ115" s="16"/>
      <c r="BA115" s="16"/>
      <c r="BB115" s="16"/>
      <c r="BC115" s="16"/>
      <c r="BD115" s="16"/>
      <c r="BE115" s="16"/>
      <c r="BF115" s="16"/>
      <c r="BG115" s="16"/>
      <c r="BH115" s="16"/>
      <c r="BI115" s="16"/>
      <c r="BJ115" s="16"/>
      <c r="BK115" s="16"/>
    </row>
    <row r="116" spans="1:63">
      <c r="A116" s="16"/>
      <c r="B116" s="38">
        <v>85</v>
      </c>
      <c r="C116" s="61">
        <v>24.1</v>
      </c>
      <c r="D116" s="38" t="s">
        <v>481</v>
      </c>
      <c r="E116" s="38">
        <v>202.19</v>
      </c>
      <c r="F116" s="38">
        <v>1367.2</v>
      </c>
      <c r="G116" s="38">
        <v>24.145</v>
      </c>
      <c r="H116" s="38">
        <v>26.99</v>
      </c>
      <c r="I116" s="61">
        <v>93.54</v>
      </c>
      <c r="J116" s="38">
        <v>3609</v>
      </c>
      <c r="K116" s="55"/>
      <c r="L116" s="135">
        <f t="shared" si="14"/>
        <v>274.13319627329514</v>
      </c>
      <c r="M116" s="39">
        <f t="shared" si="15"/>
        <v>10957.429620734034</v>
      </c>
      <c r="N116" s="63">
        <f t="shared" si="16"/>
        <v>276.434168</v>
      </c>
      <c r="O116" s="63">
        <f t="shared" si="17"/>
        <v>264.56713819262325</v>
      </c>
      <c r="P116" s="176">
        <f t="shared" si="18"/>
        <v>11.867029807376753</v>
      </c>
      <c r="Q116" s="243">
        <f t="shared" si="19"/>
        <v>0.95707104554681266</v>
      </c>
      <c r="R116" s="106">
        <f t="shared" si="20"/>
        <v>3.3436866313863196</v>
      </c>
      <c r="S116" s="18">
        <v>2</v>
      </c>
      <c r="T116" s="16"/>
      <c r="U116" s="16"/>
      <c r="V116" s="16"/>
      <c r="W116" s="18">
        <v>73</v>
      </c>
      <c r="X116" s="18">
        <v>79</v>
      </c>
      <c r="Y116" s="16"/>
      <c r="Z116" s="16"/>
      <c r="AA116" s="16"/>
      <c r="AB116" s="16"/>
      <c r="AC116" s="16"/>
      <c r="AD116" s="16"/>
      <c r="AE116" s="16"/>
      <c r="AF116" s="16"/>
      <c r="AG116" s="16"/>
      <c r="AH116" s="16"/>
      <c r="AI116" s="16"/>
      <c r="AJ116" s="63">
        <v>542.70876499999997</v>
      </c>
      <c r="AK116" s="16"/>
      <c r="AL116" s="16"/>
      <c r="AM116" s="16"/>
      <c r="AN116" s="16"/>
      <c r="AO116" s="16"/>
      <c r="AP116" s="244">
        <v>0.965757768039752</v>
      </c>
      <c r="AQ116" s="16"/>
      <c r="AR116" s="16"/>
      <c r="AS116" s="16"/>
      <c r="AT116" s="16"/>
      <c r="AU116" s="16"/>
      <c r="AV116" s="16"/>
      <c r="AW116" s="16"/>
      <c r="AX116" s="16"/>
      <c r="AY116" s="16"/>
      <c r="AZ116" s="16"/>
      <c r="BA116" s="16"/>
      <c r="BB116" s="16"/>
      <c r="BC116" s="16"/>
      <c r="BD116" s="16"/>
      <c r="BE116" s="16"/>
      <c r="BF116" s="16"/>
      <c r="BG116" s="16"/>
      <c r="BH116" s="16"/>
      <c r="BI116" s="16"/>
      <c r="BJ116" s="16"/>
      <c r="BK116" s="16"/>
    </row>
    <row r="117" spans="1:63">
      <c r="A117" s="16"/>
      <c r="B117" s="38">
        <v>85</v>
      </c>
      <c r="C117" s="61">
        <v>24.1</v>
      </c>
      <c r="D117" s="38" t="s">
        <v>481</v>
      </c>
      <c r="E117" s="38">
        <v>202.06</v>
      </c>
      <c r="F117" s="38">
        <v>1549</v>
      </c>
      <c r="G117" s="38">
        <v>24.145</v>
      </c>
      <c r="H117" s="38">
        <v>30.59</v>
      </c>
      <c r="I117" s="61">
        <v>93.02</v>
      </c>
      <c r="J117" s="38">
        <v>3810</v>
      </c>
      <c r="K117" s="55"/>
      <c r="L117" s="135">
        <f t="shared" si="14"/>
        <v>291.0186044764381</v>
      </c>
      <c r="M117" s="39">
        <f t="shared" si="15"/>
        <v>12415.407980412734</v>
      </c>
      <c r="N117" s="63">
        <f t="shared" si="16"/>
        <v>312.99094000000002</v>
      </c>
      <c r="O117" s="63">
        <f t="shared" si="17"/>
        <v>299.77002568706541</v>
      </c>
      <c r="P117" s="194">
        <f t="shared" si="18"/>
        <v>13.22091431293461</v>
      </c>
      <c r="Q117" s="245">
        <f t="shared" si="19"/>
        <v>0.95775943446498923</v>
      </c>
      <c r="R117" s="106">
        <f t="shared" si="20"/>
        <v>3.3458378699396221</v>
      </c>
      <c r="S117" s="16"/>
      <c r="T117" s="16"/>
      <c r="U117" s="16"/>
      <c r="V117" s="16"/>
      <c r="W117" s="16"/>
      <c r="X117" s="16"/>
      <c r="Y117" s="16"/>
      <c r="Z117" s="16"/>
      <c r="AA117" s="16"/>
      <c r="AB117" s="16"/>
      <c r="AC117" s="16"/>
      <c r="AD117" s="16"/>
      <c r="AE117" s="16"/>
      <c r="AF117" s="16"/>
      <c r="AG117" s="16"/>
      <c r="AH117" s="16"/>
      <c r="AI117" s="16"/>
      <c r="AJ117" s="63">
        <v>597.85681499999998</v>
      </c>
      <c r="AK117" s="16"/>
      <c r="AL117" s="16"/>
      <c r="AM117" s="16"/>
      <c r="AN117" s="16"/>
      <c r="AO117" s="16"/>
      <c r="AP117" s="244">
        <v>0.96586407430367294</v>
      </c>
      <c r="AQ117" s="16"/>
      <c r="AR117" s="16"/>
      <c r="AS117" s="16"/>
      <c r="AT117" s="16"/>
      <c r="AU117" s="16"/>
      <c r="AV117" s="16"/>
      <c r="AW117" s="16"/>
      <c r="AX117" s="16"/>
      <c r="AY117" s="16"/>
      <c r="AZ117" s="16"/>
      <c r="BA117" s="16"/>
      <c r="BB117" s="16"/>
      <c r="BC117" s="16"/>
      <c r="BD117" s="16"/>
      <c r="BE117" s="16"/>
      <c r="BF117" s="16"/>
      <c r="BG117" s="16"/>
      <c r="BH117" s="16"/>
      <c r="BI117" s="16"/>
      <c r="BJ117" s="16"/>
      <c r="BK117" s="16"/>
    </row>
    <row r="118" spans="1:63">
      <c r="A118" s="16" t="s">
        <v>554</v>
      </c>
      <c r="B118" s="38">
        <v>85</v>
      </c>
      <c r="C118" s="61">
        <v>24.1</v>
      </c>
      <c r="D118" s="38" t="s">
        <v>481</v>
      </c>
      <c r="E118" s="38">
        <v>202.09</v>
      </c>
      <c r="F118" s="38">
        <v>1591.3</v>
      </c>
      <c r="G118" s="38">
        <v>24.15</v>
      </c>
      <c r="H118" s="38">
        <v>31.42</v>
      </c>
      <c r="I118" s="61">
        <v>92.95</v>
      </c>
      <c r="J118" s="38">
        <v>3871</v>
      </c>
      <c r="K118" s="55"/>
      <c r="L118" s="135">
        <f t="shared" si="14"/>
        <v>295.90063047948536</v>
      </c>
      <c r="M118" s="39">
        <f t="shared" si="15"/>
        <v>12751.459356141928</v>
      </c>
      <c r="N118" s="63">
        <f t="shared" si="16"/>
        <v>321.58581699999996</v>
      </c>
      <c r="O118" s="63">
        <f t="shared" si="17"/>
        <v>307.94774345082755</v>
      </c>
      <c r="P118" s="195">
        <f t="shared" si="18"/>
        <v>13.638073549172418</v>
      </c>
      <c r="Q118" s="245">
        <f t="shared" si="19"/>
        <v>0.95759118459763282</v>
      </c>
      <c r="R118" s="106">
        <f t="shared" si="20"/>
        <v>3.3460339452719081</v>
      </c>
      <c r="S118" s="18">
        <v>2</v>
      </c>
      <c r="T118" s="18">
        <v>73</v>
      </c>
      <c r="U118" s="18">
        <v>78</v>
      </c>
      <c r="V118" s="18">
        <v>83</v>
      </c>
      <c r="W118" s="18">
        <v>86</v>
      </c>
      <c r="X118" s="18">
        <v>89</v>
      </c>
      <c r="Y118" s="18">
        <v>104</v>
      </c>
      <c r="Z118" s="18">
        <v>73</v>
      </c>
      <c r="AA118" s="18">
        <v>96</v>
      </c>
      <c r="AB118" s="16"/>
      <c r="AC118" s="18">
        <v>25</v>
      </c>
      <c r="AD118" s="18">
        <v>95</v>
      </c>
      <c r="AE118" s="18">
        <v>50</v>
      </c>
      <c r="AF118" s="16"/>
      <c r="AG118" s="16"/>
      <c r="AH118" s="16"/>
      <c r="AI118" s="16"/>
      <c r="AJ118" s="63">
        <v>648.70414000000017</v>
      </c>
      <c r="AK118" s="16"/>
      <c r="AL118" s="16"/>
      <c r="AM118" s="16"/>
      <c r="AN118" s="16"/>
      <c r="AO118" s="16"/>
      <c r="AP118" s="246">
        <v>0.96615582177382653</v>
      </c>
      <c r="AQ118" s="16"/>
      <c r="AR118" s="16"/>
      <c r="AS118" s="16"/>
      <c r="AT118" s="16"/>
      <c r="AU118" s="16"/>
      <c r="AV118" s="16"/>
      <c r="AW118" s="16"/>
      <c r="AX118" s="16"/>
      <c r="AY118" s="16"/>
      <c r="AZ118" s="16"/>
      <c r="BA118" s="16"/>
      <c r="BB118" s="16"/>
      <c r="BC118" s="16"/>
      <c r="BD118" s="16"/>
      <c r="BE118" s="16"/>
      <c r="BF118" s="16"/>
      <c r="BG118" s="16"/>
      <c r="BH118" s="16"/>
      <c r="BI118" s="16"/>
      <c r="BJ118" s="16"/>
      <c r="BK118" s="16"/>
    </row>
    <row r="119" spans="1:63">
      <c r="A119" s="16"/>
      <c r="B119" s="16"/>
      <c r="C119" s="55"/>
      <c r="D119" s="16"/>
      <c r="E119" s="16"/>
      <c r="F119" s="16"/>
      <c r="G119" s="16"/>
      <c r="H119" s="16"/>
      <c r="I119" s="55"/>
      <c r="J119" s="16"/>
      <c r="K119" s="55"/>
      <c r="L119" s="247"/>
      <c r="M119" s="168"/>
      <c r="N119" s="57"/>
      <c r="O119" s="57"/>
      <c r="P119" s="57"/>
      <c r="Q119" s="157"/>
      <c r="R119" s="248"/>
      <c r="S119" s="16"/>
      <c r="T119" s="16"/>
      <c r="U119" s="16"/>
      <c r="V119" s="16"/>
      <c r="W119" s="16"/>
      <c r="X119" s="16"/>
      <c r="Y119" s="16"/>
      <c r="Z119" s="16"/>
      <c r="AA119" s="16"/>
      <c r="AB119" s="16"/>
      <c r="AC119" s="16"/>
      <c r="AD119" s="16"/>
      <c r="AE119" s="16"/>
      <c r="AF119" s="16"/>
      <c r="AG119" s="16"/>
      <c r="AH119" s="16"/>
      <c r="AI119" s="16"/>
      <c r="AJ119" s="63">
        <v>705.53164500000003</v>
      </c>
      <c r="AK119" s="16"/>
      <c r="AL119" s="16"/>
      <c r="AM119" s="16"/>
      <c r="AN119" s="16"/>
      <c r="AO119" s="16"/>
      <c r="AP119" s="249">
        <v>0.96684337220586458</v>
      </c>
      <c r="AQ119" s="16"/>
      <c r="AR119" s="16"/>
      <c r="AS119" s="16"/>
      <c r="AT119" s="16"/>
      <c r="AU119" s="16"/>
      <c r="AV119" s="16"/>
      <c r="AW119" s="16"/>
      <c r="AX119" s="16"/>
      <c r="AY119" s="16"/>
      <c r="AZ119" s="16"/>
      <c r="BA119" s="16"/>
      <c r="BB119" s="16"/>
      <c r="BC119" s="16"/>
      <c r="BD119" s="16"/>
      <c r="BE119" s="16"/>
      <c r="BF119" s="16"/>
      <c r="BG119" s="16"/>
      <c r="BH119" s="16"/>
      <c r="BI119" s="16"/>
      <c r="BJ119" s="16"/>
      <c r="BK119" s="16"/>
    </row>
    <row r="120" spans="1:63">
      <c r="A120" s="16"/>
      <c r="B120" s="16"/>
      <c r="C120" s="55"/>
      <c r="D120" s="16"/>
      <c r="E120" s="16"/>
      <c r="F120" s="16"/>
      <c r="G120" s="16"/>
      <c r="H120" s="16"/>
      <c r="I120" s="55"/>
      <c r="J120" s="16"/>
      <c r="K120" s="55"/>
      <c r="L120" s="247"/>
      <c r="M120" s="168"/>
      <c r="N120" s="57"/>
      <c r="O120" s="57"/>
      <c r="P120" s="57"/>
      <c r="Q120" s="157"/>
      <c r="R120" s="248"/>
      <c r="S120" s="16"/>
      <c r="T120" s="16"/>
      <c r="U120" s="16"/>
      <c r="V120" s="16"/>
      <c r="W120" s="16"/>
      <c r="X120" s="16"/>
      <c r="Y120" s="16"/>
      <c r="Z120" s="16"/>
      <c r="AA120" s="16"/>
      <c r="AB120" s="16"/>
      <c r="AC120" s="16"/>
      <c r="AD120" s="16"/>
      <c r="AE120" s="16"/>
      <c r="AF120" s="16"/>
      <c r="AG120" s="16"/>
      <c r="AH120" s="16"/>
      <c r="AI120" s="16"/>
      <c r="AJ120" s="63">
        <v>722.82349999999997</v>
      </c>
      <c r="AK120" s="16"/>
      <c r="AL120" s="16"/>
      <c r="AM120" s="16"/>
      <c r="AN120" s="16"/>
      <c r="AO120" s="16"/>
      <c r="AP120" s="249">
        <v>0.96675796911622813</v>
      </c>
      <c r="AQ120" s="16"/>
      <c r="AR120" s="16"/>
      <c r="AS120" s="16"/>
      <c r="AT120" s="16"/>
      <c r="AU120" s="16"/>
      <c r="AV120" s="16"/>
      <c r="AW120" s="16"/>
      <c r="AX120" s="16"/>
      <c r="AY120" s="16"/>
      <c r="AZ120" s="16"/>
      <c r="BA120" s="16"/>
      <c r="BB120" s="16"/>
      <c r="BC120" s="16"/>
      <c r="BD120" s="16"/>
      <c r="BE120" s="16"/>
      <c r="BF120" s="16"/>
      <c r="BG120" s="16"/>
      <c r="BH120" s="16"/>
      <c r="BI120" s="16"/>
      <c r="BJ120" s="16"/>
      <c r="BK120" s="16"/>
    </row>
    <row r="121" spans="1:63">
      <c r="A121" s="16"/>
      <c r="B121" s="16"/>
      <c r="C121" s="55"/>
      <c r="D121" s="16"/>
      <c r="E121" s="16"/>
      <c r="F121" s="16"/>
      <c r="G121" s="16"/>
      <c r="H121" s="16"/>
      <c r="I121" s="55"/>
      <c r="J121" s="16"/>
      <c r="K121" s="55"/>
      <c r="L121" s="247"/>
      <c r="M121" s="168"/>
      <c r="N121" s="57"/>
      <c r="O121" s="57"/>
      <c r="P121" s="57"/>
      <c r="Q121" s="157"/>
      <c r="R121" s="248"/>
      <c r="S121" s="16"/>
      <c r="T121" s="16"/>
      <c r="U121" s="16"/>
      <c r="V121" s="16"/>
      <c r="W121" s="16"/>
      <c r="X121" s="16"/>
      <c r="Y121" s="16"/>
      <c r="Z121" s="16"/>
      <c r="AA121" s="16"/>
      <c r="AB121" s="16"/>
      <c r="AC121" s="16"/>
      <c r="AD121" s="16"/>
      <c r="AE121" s="16"/>
      <c r="AF121" s="16"/>
      <c r="AG121" s="16"/>
      <c r="AH121" s="16"/>
      <c r="AI121" s="16"/>
      <c r="AJ121" s="63">
        <v>735.36309000000006</v>
      </c>
      <c r="AK121" s="16"/>
      <c r="AL121" s="16"/>
      <c r="AM121" s="16"/>
      <c r="AN121" s="16"/>
      <c r="AO121" s="16"/>
      <c r="AP121" s="246">
        <v>0.96612289160156306</v>
      </c>
      <c r="AQ121" s="16"/>
      <c r="AR121" s="16"/>
      <c r="AS121" s="16"/>
      <c r="AT121" s="16"/>
      <c r="AU121" s="16"/>
      <c r="AV121" s="16"/>
      <c r="AW121" s="16"/>
      <c r="AX121" s="16"/>
      <c r="AY121" s="16"/>
      <c r="AZ121" s="16"/>
      <c r="BA121" s="16"/>
      <c r="BB121" s="16"/>
      <c r="BC121" s="16"/>
      <c r="BD121" s="16"/>
      <c r="BE121" s="16"/>
      <c r="BF121" s="16"/>
      <c r="BG121" s="16"/>
      <c r="BH121" s="16"/>
      <c r="BI121" s="16"/>
      <c r="BJ121" s="16"/>
      <c r="BK121" s="16"/>
    </row>
    <row r="122" spans="1:63">
      <c r="A122" s="16"/>
      <c r="B122" s="16"/>
      <c r="C122" s="55"/>
      <c r="D122" s="16"/>
      <c r="E122" s="16"/>
      <c r="F122" s="16"/>
      <c r="G122" s="16"/>
      <c r="H122" s="16"/>
      <c r="I122" s="55"/>
      <c r="J122" s="16"/>
      <c r="K122" s="55"/>
      <c r="L122" s="247"/>
      <c r="M122" s="168"/>
      <c r="N122" s="57"/>
      <c r="O122" s="57"/>
      <c r="P122" s="57"/>
      <c r="Q122" s="157"/>
      <c r="R122" s="248"/>
      <c r="S122" s="16"/>
      <c r="T122" s="16"/>
      <c r="U122" s="16"/>
      <c r="V122" s="16"/>
      <c r="W122" s="16"/>
      <c r="X122" s="16"/>
      <c r="Y122" s="16"/>
      <c r="Z122" s="16"/>
      <c r="AA122" s="16"/>
      <c r="AB122" s="16"/>
      <c r="AC122" s="16"/>
      <c r="AD122" s="16"/>
      <c r="AE122" s="16"/>
      <c r="AF122" s="16"/>
      <c r="AG122" s="16"/>
      <c r="AH122" s="16"/>
      <c r="AI122" s="16"/>
      <c r="AJ122" s="63">
        <v>765.89733000000001</v>
      </c>
      <c r="AK122" s="16"/>
      <c r="AL122" s="16"/>
      <c r="AM122" s="16"/>
      <c r="AN122" s="16"/>
      <c r="AO122" s="16"/>
      <c r="AP122" s="244">
        <v>0.96584233045883972</v>
      </c>
      <c r="AQ122" s="16"/>
      <c r="AR122" s="16"/>
      <c r="AS122" s="16"/>
      <c r="AT122" s="16"/>
      <c r="AU122" s="16"/>
      <c r="AV122" s="16"/>
      <c r="AW122" s="16"/>
      <c r="AX122" s="16"/>
      <c r="AY122" s="16"/>
      <c r="AZ122" s="16"/>
      <c r="BA122" s="16"/>
      <c r="BB122" s="16"/>
      <c r="BC122" s="16"/>
      <c r="BD122" s="16"/>
      <c r="BE122" s="16"/>
      <c r="BF122" s="16"/>
      <c r="BG122" s="16"/>
      <c r="BH122" s="16"/>
      <c r="BI122" s="16"/>
      <c r="BJ122" s="16"/>
      <c r="BK122" s="16"/>
    </row>
    <row r="123" spans="1:63">
      <c r="A123" s="16"/>
      <c r="B123" s="16"/>
      <c r="C123" s="55"/>
      <c r="D123" s="16"/>
      <c r="E123" s="16"/>
      <c r="F123" s="16"/>
      <c r="G123" s="16"/>
      <c r="H123" s="16"/>
      <c r="I123" s="55"/>
      <c r="J123" s="16"/>
      <c r="K123" s="55"/>
      <c r="L123" s="247"/>
      <c r="M123" s="168"/>
      <c r="N123" s="57"/>
      <c r="O123" s="57"/>
      <c r="P123" s="57"/>
      <c r="Q123" s="157"/>
      <c r="R123" s="248"/>
      <c r="S123" s="16"/>
      <c r="T123" s="16"/>
      <c r="U123" s="16"/>
      <c r="V123" s="16"/>
      <c r="W123" s="16"/>
      <c r="X123" s="16"/>
      <c r="Y123" s="16"/>
      <c r="Z123" s="16"/>
      <c r="AA123" s="16"/>
      <c r="AB123" s="16"/>
      <c r="AC123" s="16"/>
      <c r="AD123" s="16"/>
      <c r="AE123" s="16"/>
      <c r="AF123" s="16"/>
      <c r="AG123" s="16"/>
      <c r="AH123" s="16"/>
      <c r="AI123" s="16"/>
      <c r="AJ123" s="63">
        <v>10.038</v>
      </c>
      <c r="AK123" s="16"/>
      <c r="AL123" s="16"/>
      <c r="AM123" s="16"/>
      <c r="AN123" s="16"/>
      <c r="AO123" s="16"/>
      <c r="AP123" s="16"/>
      <c r="AQ123" s="114">
        <v>0.13085846506741677</v>
      </c>
      <c r="AR123" s="16"/>
      <c r="AS123" s="16"/>
      <c r="AT123" s="16"/>
      <c r="AU123" s="16"/>
      <c r="AV123" s="16"/>
      <c r="AW123" s="16"/>
      <c r="AX123" s="16"/>
      <c r="AY123" s="16"/>
      <c r="AZ123" s="16"/>
      <c r="BA123" s="16"/>
      <c r="BB123" s="16"/>
      <c r="BC123" s="16"/>
      <c r="BD123" s="16"/>
      <c r="BE123" s="16"/>
      <c r="BF123" s="16"/>
      <c r="BG123" s="16"/>
      <c r="BH123" s="16"/>
      <c r="BI123" s="16"/>
      <c r="BJ123" s="16"/>
      <c r="BK123" s="16"/>
    </row>
    <row r="124" spans="1:63">
      <c r="A124" s="16"/>
      <c r="B124" s="16"/>
      <c r="C124" s="55"/>
      <c r="D124" s="16"/>
      <c r="E124" s="16"/>
      <c r="F124" s="16"/>
      <c r="G124" s="16"/>
      <c r="H124" s="16"/>
      <c r="I124" s="55"/>
      <c r="J124" s="16"/>
      <c r="K124" s="55"/>
      <c r="L124" s="247"/>
      <c r="M124" s="168"/>
      <c r="N124" s="57"/>
      <c r="O124" s="57"/>
      <c r="P124" s="57"/>
      <c r="Q124" s="157"/>
      <c r="R124" s="248"/>
      <c r="S124" s="16"/>
      <c r="T124" s="16"/>
      <c r="U124" s="16"/>
      <c r="V124" s="16"/>
      <c r="W124" s="16"/>
      <c r="X124" s="16"/>
      <c r="Y124" s="16"/>
      <c r="Z124" s="16"/>
      <c r="AA124" s="16"/>
      <c r="AB124" s="16"/>
      <c r="AC124" s="16"/>
      <c r="AD124" s="16"/>
      <c r="AE124" s="16"/>
      <c r="AF124" s="16"/>
      <c r="AG124" s="16"/>
      <c r="AH124" s="16"/>
      <c r="AI124" s="16"/>
      <c r="AJ124" s="63">
        <v>23.888060000000003</v>
      </c>
      <c r="AK124" s="16"/>
      <c r="AL124" s="16"/>
      <c r="AM124" s="16"/>
      <c r="AN124" s="16"/>
      <c r="AO124" s="16"/>
      <c r="AP124" s="16"/>
      <c r="AQ124" s="114">
        <v>0.62199630287561303</v>
      </c>
      <c r="AR124" s="16"/>
      <c r="AS124" s="16"/>
      <c r="AT124" s="16"/>
      <c r="AU124" s="16"/>
      <c r="AV124" s="16"/>
      <c r="AW124" s="16"/>
      <c r="AX124" s="16"/>
      <c r="AY124" s="16"/>
      <c r="AZ124" s="16"/>
      <c r="BA124" s="16"/>
      <c r="BB124" s="16"/>
      <c r="BC124" s="16"/>
      <c r="BD124" s="16"/>
      <c r="BE124" s="16"/>
      <c r="BF124" s="16"/>
      <c r="BG124" s="16"/>
      <c r="BH124" s="16"/>
      <c r="BI124" s="16"/>
      <c r="BJ124" s="16"/>
      <c r="BK124" s="16"/>
    </row>
    <row r="125" spans="1:63">
      <c r="A125" s="16"/>
      <c r="B125" s="16"/>
      <c r="C125" s="55"/>
      <c r="D125" s="16"/>
      <c r="E125" s="16"/>
      <c r="F125" s="16"/>
      <c r="G125" s="16"/>
      <c r="H125" s="16"/>
      <c r="I125" s="55"/>
      <c r="J125" s="16"/>
      <c r="K125" s="55"/>
      <c r="L125" s="247"/>
      <c r="M125" s="168"/>
      <c r="N125" s="57"/>
      <c r="O125" s="57"/>
      <c r="P125" s="57"/>
      <c r="Q125" s="157"/>
      <c r="R125" s="248"/>
      <c r="S125" s="16"/>
      <c r="T125" s="16"/>
      <c r="U125" s="16"/>
      <c r="V125" s="16"/>
      <c r="W125" s="16"/>
      <c r="X125" s="16"/>
      <c r="Y125" s="16"/>
      <c r="Z125" s="16"/>
      <c r="AA125" s="16"/>
      <c r="AB125" s="16"/>
      <c r="AC125" s="16"/>
      <c r="AD125" s="16"/>
      <c r="AE125" s="16"/>
      <c r="AF125" s="16"/>
      <c r="AG125" s="16"/>
      <c r="AH125" s="16"/>
      <c r="AI125" s="16"/>
      <c r="AJ125" s="63">
        <v>37.584820000000008</v>
      </c>
      <c r="AK125" s="16"/>
      <c r="AL125" s="16"/>
      <c r="AM125" s="16"/>
      <c r="AN125" s="16"/>
      <c r="AO125" s="16"/>
      <c r="AP125" s="16"/>
      <c r="AQ125" s="114">
        <v>0.75303129106466715</v>
      </c>
      <c r="AR125" s="16"/>
      <c r="AS125" s="16"/>
      <c r="AT125" s="16"/>
      <c r="AU125" s="16"/>
      <c r="AV125" s="16"/>
      <c r="AW125" s="16"/>
      <c r="AX125" s="16"/>
      <c r="AY125" s="16"/>
      <c r="AZ125" s="16"/>
      <c r="BA125" s="16"/>
      <c r="BB125" s="16"/>
      <c r="BC125" s="16"/>
      <c r="BD125" s="16"/>
      <c r="BE125" s="16"/>
      <c r="BF125" s="16"/>
      <c r="BG125" s="16"/>
      <c r="BH125" s="16"/>
      <c r="BI125" s="16"/>
      <c r="BJ125" s="16"/>
      <c r="BK125" s="16"/>
    </row>
    <row r="126" spans="1:63">
      <c r="A126" s="75" t="s">
        <v>415</v>
      </c>
      <c r="B126" s="47" t="s">
        <v>416</v>
      </c>
      <c r="C126" s="47" t="s">
        <v>21</v>
      </c>
      <c r="D126" s="47" t="s">
        <v>417</v>
      </c>
      <c r="E126" s="47" t="s">
        <v>418</v>
      </c>
      <c r="F126" s="76" t="s">
        <v>419</v>
      </c>
      <c r="G126" s="47" t="s">
        <v>420</v>
      </c>
      <c r="H126" s="77" t="s">
        <v>421</v>
      </c>
      <c r="I126" s="76" t="s">
        <v>422</v>
      </c>
      <c r="J126" s="47" t="s">
        <v>423</v>
      </c>
      <c r="K126" s="76" t="s">
        <v>424</v>
      </c>
      <c r="L126" s="122" t="s">
        <v>425</v>
      </c>
      <c r="M126" s="79" t="s">
        <v>493</v>
      </c>
      <c r="N126" s="16"/>
      <c r="O126" s="79" t="s">
        <v>426</v>
      </c>
      <c r="P126" s="47" t="s">
        <v>427</v>
      </c>
      <c r="Q126" s="79" t="s">
        <v>428</v>
      </c>
      <c r="R126" s="80" t="s">
        <v>430</v>
      </c>
      <c r="S126" s="47" t="s">
        <v>431</v>
      </c>
      <c r="T126" s="47" t="s">
        <v>432</v>
      </c>
      <c r="U126" s="47" t="s">
        <v>433</v>
      </c>
      <c r="V126" s="47" t="s">
        <v>434</v>
      </c>
      <c r="W126" s="75" t="s">
        <v>429</v>
      </c>
      <c r="X126" s="16"/>
      <c r="Y126" s="57"/>
      <c r="Z126" s="57"/>
      <c r="AA126" s="16"/>
      <c r="AB126" s="16"/>
      <c r="AC126" s="16"/>
      <c r="AD126" s="16"/>
      <c r="AE126" s="16"/>
      <c r="AF126" s="16"/>
      <c r="AG126" s="16"/>
      <c r="AH126" s="16"/>
      <c r="AI126" s="16"/>
      <c r="AJ126" s="63">
        <v>51.4345</v>
      </c>
      <c r="AK126" s="16"/>
      <c r="AL126" s="16"/>
      <c r="AM126" s="16"/>
      <c r="AN126" s="16"/>
      <c r="AO126" s="16"/>
      <c r="AP126" s="16"/>
      <c r="AQ126" s="114">
        <v>0.81541986906589714</v>
      </c>
      <c r="AR126" s="16"/>
      <c r="AS126" s="16"/>
      <c r="AT126" s="16"/>
      <c r="AU126" s="16"/>
      <c r="AV126" s="16"/>
      <c r="AW126" s="16"/>
      <c r="AX126" s="16"/>
      <c r="AY126" s="16"/>
      <c r="AZ126" s="16"/>
      <c r="BA126" s="16"/>
      <c r="BB126" s="16"/>
      <c r="BC126" s="16"/>
      <c r="BD126" s="16"/>
      <c r="BE126" s="16"/>
      <c r="BF126" s="16"/>
      <c r="BG126" s="16"/>
      <c r="BH126" s="16"/>
      <c r="BI126" s="16"/>
      <c r="BJ126" s="16"/>
      <c r="BK126" s="16"/>
    </row>
    <row r="127" spans="1:63">
      <c r="A127" s="16" t="s">
        <v>555</v>
      </c>
      <c r="B127" s="38">
        <v>303</v>
      </c>
      <c r="C127" s="81">
        <v>45608</v>
      </c>
      <c r="D127" s="82" t="s">
        <v>436</v>
      </c>
      <c r="E127" s="38" t="s">
        <v>437</v>
      </c>
      <c r="F127" s="55" t="s">
        <v>438</v>
      </c>
      <c r="G127" s="38" t="s">
        <v>439</v>
      </c>
      <c r="H127" s="61">
        <v>1000</v>
      </c>
      <c r="I127" s="61" t="s">
        <v>439</v>
      </c>
      <c r="J127" s="38" t="s">
        <v>440</v>
      </c>
      <c r="K127" s="61">
        <v>20.5</v>
      </c>
      <c r="L127" s="123" t="s">
        <v>442</v>
      </c>
      <c r="M127" s="63" t="s">
        <v>494</v>
      </c>
      <c r="N127" s="16"/>
      <c r="O127" s="63" t="s">
        <v>443</v>
      </c>
      <c r="P127" s="63" t="s">
        <v>443</v>
      </c>
      <c r="Q127" s="63" t="s">
        <v>444</v>
      </c>
      <c r="R127" s="86" t="s">
        <v>445</v>
      </c>
      <c r="S127" s="38" t="s">
        <v>446</v>
      </c>
      <c r="T127" s="38" t="s">
        <v>447</v>
      </c>
      <c r="U127" s="38" t="s">
        <v>443</v>
      </c>
      <c r="V127" s="38" t="s">
        <v>449</v>
      </c>
      <c r="W127" s="16" t="s">
        <v>444</v>
      </c>
      <c r="X127" s="16"/>
      <c r="Y127" s="57"/>
      <c r="Z127" s="16"/>
      <c r="AA127" s="16"/>
      <c r="AB127" s="16"/>
      <c r="AC127" s="16"/>
      <c r="AD127" s="16"/>
      <c r="AE127" s="16"/>
      <c r="AF127" s="16"/>
      <c r="AG127" s="16"/>
      <c r="AH127" s="16"/>
      <c r="AI127" s="16"/>
      <c r="AJ127" s="63">
        <v>79.896915000000007</v>
      </c>
      <c r="AK127" s="16"/>
      <c r="AL127" s="16"/>
      <c r="AM127" s="16"/>
      <c r="AN127" s="16"/>
      <c r="AO127" s="16"/>
      <c r="AP127" s="16"/>
      <c r="AQ127" s="114">
        <v>0.87606015738255372</v>
      </c>
      <c r="AR127" s="16"/>
      <c r="AS127" s="16"/>
      <c r="AT127" s="16"/>
      <c r="AU127" s="16"/>
      <c r="AV127" s="16"/>
      <c r="AW127" s="16"/>
      <c r="AX127" s="16"/>
      <c r="AY127" s="16"/>
      <c r="AZ127" s="16"/>
      <c r="BA127" s="16"/>
      <c r="BB127" s="16"/>
      <c r="BC127" s="16"/>
      <c r="BD127" s="16"/>
      <c r="BE127" s="16"/>
      <c r="BF127" s="16"/>
      <c r="BG127" s="16"/>
      <c r="BH127" s="16"/>
      <c r="BI127" s="16"/>
      <c r="BJ127" s="16"/>
      <c r="BK127" s="16"/>
    </row>
    <row r="128" spans="1:63">
      <c r="A128" s="124" t="s">
        <v>450</v>
      </c>
      <c r="B128" s="125" t="s">
        <v>451</v>
      </c>
      <c r="C128" s="126" t="s">
        <v>452</v>
      </c>
      <c r="D128" s="125" t="s">
        <v>453</v>
      </c>
      <c r="E128" s="126" t="s">
        <v>454</v>
      </c>
      <c r="F128" s="127" t="s">
        <v>455</v>
      </c>
      <c r="G128" s="125" t="s">
        <v>456</v>
      </c>
      <c r="H128" s="125" t="s">
        <v>457</v>
      </c>
      <c r="I128" s="126" t="s">
        <v>458</v>
      </c>
      <c r="J128" s="125" t="s">
        <v>459</v>
      </c>
      <c r="K128" s="125" t="s">
        <v>460</v>
      </c>
      <c r="L128" s="128" t="s">
        <v>461</v>
      </c>
      <c r="M128" s="129" t="s">
        <v>462</v>
      </c>
      <c r="N128" s="129" t="s">
        <v>463</v>
      </c>
      <c r="O128" s="119" t="s">
        <v>464</v>
      </c>
      <c r="P128" s="119" t="s">
        <v>465</v>
      </c>
      <c r="Q128" s="128" t="s">
        <v>367</v>
      </c>
      <c r="R128" s="119" t="s">
        <v>466</v>
      </c>
      <c r="S128" s="127" t="s">
        <v>467</v>
      </c>
      <c r="T128" s="127" t="s">
        <v>468</v>
      </c>
      <c r="U128" s="125" t="s">
        <v>469</v>
      </c>
      <c r="V128" s="125" t="s">
        <v>470</v>
      </c>
      <c r="W128" s="125" t="s">
        <v>471</v>
      </c>
      <c r="X128" s="125" t="s">
        <v>472</v>
      </c>
      <c r="Y128" s="125" t="s">
        <v>473</v>
      </c>
      <c r="Z128" s="125" t="s">
        <v>474</v>
      </c>
      <c r="AA128" s="125" t="s">
        <v>475</v>
      </c>
      <c r="AB128" s="126" t="s">
        <v>476</v>
      </c>
      <c r="AC128" s="125" t="s">
        <v>477</v>
      </c>
      <c r="AD128" s="125" t="s">
        <v>478</v>
      </c>
      <c r="AE128" s="125" t="s">
        <v>495</v>
      </c>
      <c r="AF128" s="125" t="s">
        <v>496</v>
      </c>
      <c r="AG128" s="16"/>
      <c r="AH128" s="16"/>
      <c r="AI128" s="16"/>
      <c r="AJ128" s="63">
        <v>109.26595500000001</v>
      </c>
      <c r="AK128" s="16"/>
      <c r="AL128" s="16"/>
      <c r="AM128" s="16"/>
      <c r="AN128" s="16"/>
      <c r="AO128" s="16"/>
      <c r="AP128" s="16"/>
      <c r="AQ128" s="250">
        <v>0.90442195907824663</v>
      </c>
      <c r="AR128" s="16"/>
      <c r="AS128" s="16"/>
      <c r="AT128" s="16"/>
      <c r="AU128" s="16"/>
      <c r="AV128" s="16"/>
      <c r="AW128" s="16"/>
      <c r="AX128" s="16"/>
      <c r="AY128" s="16"/>
      <c r="AZ128" s="16"/>
      <c r="BA128" s="16"/>
      <c r="BB128" s="16"/>
      <c r="BC128" s="16"/>
      <c r="BD128" s="16"/>
      <c r="BE128" s="16"/>
      <c r="BF128" s="16"/>
      <c r="BG128" s="16"/>
      <c r="BH128" s="16"/>
      <c r="BI128" s="16"/>
      <c r="BJ128" s="16"/>
      <c r="BK128" s="16"/>
    </row>
    <row r="129" spans="1:63">
      <c r="A129" s="130"/>
      <c r="B129" s="131">
        <v>85</v>
      </c>
      <c r="C129" s="72">
        <v>24.1</v>
      </c>
      <c r="D129" s="131" t="s">
        <v>481</v>
      </c>
      <c r="E129" s="131">
        <v>204.22</v>
      </c>
      <c r="F129" s="131">
        <v>62</v>
      </c>
      <c r="G129" s="131">
        <v>24.09</v>
      </c>
      <c r="H129" s="131">
        <v>0.09</v>
      </c>
      <c r="I129" s="72">
        <v>96.67</v>
      </c>
      <c r="J129" s="131">
        <v>2930</v>
      </c>
      <c r="K129" s="169"/>
      <c r="L129" s="132">
        <f t="shared" ref="L129:L130" si="21">(J129/1000)*1/(2*PI()*0.0000000224*I129*1000)</f>
        <v>215.35155650078568</v>
      </c>
      <c r="M129" s="133">
        <f t="shared" ref="M129:M130" si="22">(0.00561673546297382+ 0.406460306032157*H129
    -0.0000254657386682608*H129*H129)*1000</f>
        <v>42.197956733384729</v>
      </c>
      <c r="N129" s="100">
        <f t="shared" ref="N129:N130" si="23">E129*F129/1000</f>
        <v>12.66164</v>
      </c>
      <c r="O129" s="100">
        <f t="shared" ref="O129:O130" si="24">M129*G129/1000</f>
        <v>1.0165487777072379</v>
      </c>
      <c r="P129" s="251">
        <f t="shared" ref="P129:P130" si="25">N129-O129</f>
        <v>11.645091222292763</v>
      </c>
      <c r="Q129" s="121">
        <f t="shared" ref="Q129:Q130" si="26">O129/N129</f>
        <v>8.0285711622446854E-2</v>
      </c>
      <c r="R129" s="103">
        <f t="shared" ref="R129:R130" si="27">28/2*(1/((E129/G129)*0.5))</f>
        <v>3.3029086279502495</v>
      </c>
      <c r="S129" s="130"/>
      <c r="T129" s="130"/>
      <c r="U129" s="130"/>
      <c r="V129" s="130"/>
      <c r="W129" s="130"/>
      <c r="X129" s="130"/>
      <c r="Y129" s="130"/>
      <c r="Z129" s="130"/>
      <c r="AA129" s="130"/>
      <c r="AB129" s="130"/>
      <c r="AC129" s="130"/>
      <c r="AD129" s="130"/>
      <c r="AE129" s="130"/>
      <c r="AF129" s="16"/>
      <c r="AG129" s="16"/>
      <c r="AH129" s="16"/>
      <c r="AI129" s="16"/>
      <c r="AJ129" s="63">
        <v>156.03912500000001</v>
      </c>
      <c r="AK129" s="16"/>
      <c r="AL129" s="16"/>
      <c r="AM129" s="16"/>
      <c r="AN129" s="16"/>
      <c r="AO129" s="16"/>
      <c r="AP129" s="16"/>
      <c r="AQ129" s="252">
        <v>0.92915185690913049</v>
      </c>
      <c r="AR129" s="16"/>
      <c r="AS129" s="16"/>
      <c r="AT129" s="16"/>
      <c r="AU129" s="16"/>
      <c r="AV129" s="16"/>
      <c r="AW129" s="16"/>
      <c r="AX129" s="16"/>
      <c r="AY129" s="16"/>
      <c r="AZ129" s="16"/>
      <c r="BA129" s="16"/>
      <c r="BB129" s="16"/>
      <c r="BC129" s="16"/>
      <c r="BD129" s="16"/>
      <c r="BE129" s="16"/>
      <c r="BF129" s="16"/>
      <c r="BG129" s="16"/>
      <c r="BH129" s="16"/>
      <c r="BI129" s="16"/>
      <c r="BJ129" s="16"/>
      <c r="BK129" s="16"/>
    </row>
    <row r="130" spans="1:63">
      <c r="A130" s="16"/>
      <c r="B130" s="38">
        <v>85</v>
      </c>
      <c r="C130" s="61">
        <v>24.1</v>
      </c>
      <c r="D130" s="38" t="s">
        <v>481</v>
      </c>
      <c r="E130" s="38">
        <v>203.13</v>
      </c>
      <c r="F130" s="38">
        <v>654</v>
      </c>
      <c r="G130" s="38">
        <v>24.11</v>
      </c>
      <c r="H130" s="38">
        <v>11.9</v>
      </c>
      <c r="I130" s="55"/>
      <c r="J130" s="16"/>
      <c r="K130" s="55"/>
      <c r="L130" s="135" t="e">
        <f t="shared" si="21"/>
        <v>#DIV/0!</v>
      </c>
      <c r="M130" s="39">
        <f t="shared" si="22"/>
        <v>4838.8881739928302</v>
      </c>
      <c r="N130" s="63">
        <f t="shared" si="23"/>
        <v>132.84701999999999</v>
      </c>
      <c r="O130" s="63">
        <f t="shared" si="24"/>
        <v>116.66559387496713</v>
      </c>
      <c r="P130" s="253">
        <f t="shared" si="25"/>
        <v>16.181426125032857</v>
      </c>
      <c r="Q130" s="114">
        <f t="shared" si="26"/>
        <v>0.87819503873679017</v>
      </c>
      <c r="R130" s="106">
        <f t="shared" si="27"/>
        <v>3.3233889627332251</v>
      </c>
      <c r="S130" s="16"/>
      <c r="T130" s="16"/>
      <c r="U130" s="16"/>
      <c r="V130" s="16"/>
      <c r="W130" s="16"/>
      <c r="X130" s="16"/>
      <c r="Y130" s="16"/>
      <c r="Z130" s="16"/>
      <c r="AA130" s="16"/>
      <c r="AB130" s="16"/>
      <c r="AC130" s="16"/>
      <c r="AD130" s="16"/>
      <c r="AE130" s="16"/>
      <c r="AF130" s="16"/>
      <c r="AG130" s="16"/>
      <c r="AH130" s="16"/>
      <c r="AI130" s="16"/>
      <c r="AJ130" s="63">
        <v>187.37998499999998</v>
      </c>
      <c r="AK130" s="16"/>
      <c r="AL130" s="16"/>
      <c r="AM130" s="16"/>
      <c r="AN130" s="16"/>
      <c r="AO130" s="16"/>
      <c r="AP130" s="16"/>
      <c r="AQ130" s="254">
        <v>0.93894289514386564</v>
      </c>
      <c r="AR130" s="16"/>
      <c r="AS130" s="16"/>
      <c r="AT130" s="16"/>
      <c r="AU130" s="16"/>
      <c r="AV130" s="16"/>
      <c r="AW130" s="16"/>
      <c r="AX130" s="16"/>
      <c r="AY130" s="16"/>
      <c r="AZ130" s="16"/>
      <c r="BA130" s="16"/>
      <c r="BB130" s="16"/>
      <c r="BC130" s="16"/>
      <c r="BD130" s="16"/>
      <c r="BE130" s="16"/>
      <c r="BF130" s="16"/>
      <c r="BG130" s="16"/>
      <c r="BH130" s="16"/>
      <c r="BI130" s="16"/>
      <c r="BJ130" s="16"/>
      <c r="BK130" s="16"/>
    </row>
    <row r="131" spans="1:63">
      <c r="A131" s="16"/>
      <c r="B131" s="16"/>
      <c r="C131" s="55"/>
      <c r="D131" s="16"/>
      <c r="E131" s="16"/>
      <c r="F131" s="16"/>
      <c r="G131" s="16"/>
      <c r="H131" s="16"/>
      <c r="I131" s="55"/>
      <c r="J131" s="16"/>
      <c r="K131" s="55"/>
      <c r="L131" s="247"/>
      <c r="M131" s="168"/>
      <c r="N131" s="57"/>
      <c r="O131" s="57"/>
      <c r="P131" s="57"/>
      <c r="Q131" s="157"/>
      <c r="R131" s="248"/>
      <c r="S131" s="16"/>
      <c r="T131" s="16"/>
      <c r="U131" s="16"/>
      <c r="V131" s="16"/>
      <c r="W131" s="16"/>
      <c r="X131" s="16"/>
      <c r="Y131" s="16"/>
      <c r="Z131" s="16"/>
      <c r="AA131" s="16"/>
      <c r="AB131" s="16"/>
      <c r="AC131" s="16"/>
      <c r="AD131" s="16"/>
      <c r="AE131" s="16"/>
      <c r="AF131" s="16"/>
      <c r="AG131" s="16"/>
      <c r="AH131" s="16"/>
      <c r="AI131" s="16"/>
      <c r="AJ131" s="63">
        <v>235.61722</v>
      </c>
      <c r="AK131" s="16"/>
      <c r="AL131" s="16"/>
      <c r="AM131" s="16"/>
      <c r="AN131" s="16"/>
      <c r="AO131" s="16"/>
      <c r="AP131" s="16"/>
      <c r="AQ131" s="255">
        <v>0.9498950647652038</v>
      </c>
      <c r="AR131" s="16"/>
      <c r="AS131" s="16"/>
      <c r="AT131" s="16"/>
      <c r="AU131" s="16"/>
      <c r="AV131" s="16"/>
      <c r="AW131" s="16"/>
      <c r="AX131" s="16"/>
      <c r="AY131" s="16"/>
      <c r="AZ131" s="16"/>
      <c r="BA131" s="16"/>
      <c r="BB131" s="16"/>
      <c r="BC131" s="16"/>
      <c r="BD131" s="16"/>
      <c r="BE131" s="16"/>
      <c r="BF131" s="16"/>
      <c r="BG131" s="16"/>
      <c r="BH131" s="16"/>
      <c r="BI131" s="16"/>
      <c r="BJ131" s="16"/>
      <c r="BK131" s="16"/>
    </row>
    <row r="132" spans="1:63">
      <c r="A132" s="16" t="s">
        <v>556</v>
      </c>
      <c r="B132" s="16"/>
      <c r="C132" s="55"/>
      <c r="D132" s="16"/>
      <c r="E132" s="16"/>
      <c r="F132" s="16"/>
      <c r="G132" s="16"/>
      <c r="H132" s="16"/>
      <c r="I132" s="55"/>
      <c r="J132" s="16"/>
      <c r="K132" s="55"/>
      <c r="L132" s="247"/>
      <c r="M132" s="168"/>
      <c r="N132" s="57"/>
      <c r="O132" s="57"/>
      <c r="P132" s="57"/>
      <c r="Q132" s="157"/>
      <c r="R132" s="248"/>
      <c r="S132" s="16"/>
      <c r="T132" s="16"/>
      <c r="U132" s="16"/>
      <c r="V132" s="16"/>
      <c r="W132" s="16"/>
      <c r="X132" s="16"/>
      <c r="Y132" s="16"/>
      <c r="Z132" s="16"/>
      <c r="AA132" s="16"/>
      <c r="AB132" s="16"/>
      <c r="AC132" s="16"/>
      <c r="AD132" s="16"/>
      <c r="AE132" s="16"/>
      <c r="AF132" s="16"/>
      <c r="AG132" s="16"/>
      <c r="AH132" s="16"/>
      <c r="AI132" s="16"/>
      <c r="AJ132" s="63">
        <v>323.14842000000004</v>
      </c>
      <c r="AK132" s="16"/>
      <c r="AL132" s="16"/>
      <c r="AM132" s="16"/>
      <c r="AN132" s="16"/>
      <c r="AO132" s="16"/>
      <c r="AP132" s="16"/>
      <c r="AQ132" s="236">
        <v>0.95731994658641029</v>
      </c>
      <c r="AR132" s="16"/>
      <c r="AS132" s="16"/>
      <c r="AT132" s="16"/>
      <c r="AU132" s="16"/>
      <c r="AV132" s="16"/>
      <c r="AW132" s="16"/>
      <c r="AX132" s="16"/>
      <c r="AY132" s="16"/>
      <c r="AZ132" s="16"/>
      <c r="BA132" s="16"/>
      <c r="BB132" s="16"/>
      <c r="BC132" s="16"/>
      <c r="BD132" s="16"/>
      <c r="BE132" s="16"/>
      <c r="BF132" s="16"/>
      <c r="BG132" s="16"/>
      <c r="BH132" s="16"/>
      <c r="BI132" s="16"/>
      <c r="BJ132" s="16"/>
      <c r="BK132" s="16"/>
    </row>
    <row r="133" spans="1:63">
      <c r="A133" s="16"/>
      <c r="B133" s="16"/>
      <c r="C133" s="55"/>
      <c r="D133" s="16"/>
      <c r="E133" s="16"/>
      <c r="F133" s="16"/>
      <c r="G133" s="16"/>
      <c r="H133" s="16"/>
      <c r="I133" s="55"/>
      <c r="J133" s="16"/>
      <c r="K133" s="55"/>
      <c r="L133" s="247"/>
      <c r="M133" s="168"/>
      <c r="N133" s="57"/>
      <c r="O133" s="57"/>
      <c r="P133" s="57"/>
      <c r="Q133" s="157"/>
      <c r="R133" s="248"/>
      <c r="S133" s="16"/>
      <c r="T133" s="16"/>
      <c r="U133" s="16"/>
      <c r="V133" s="16"/>
      <c r="W133" s="16"/>
      <c r="X133" s="16"/>
      <c r="Y133" s="16"/>
      <c r="Z133" s="16"/>
      <c r="AA133" s="16"/>
      <c r="AB133" s="16"/>
      <c r="AC133" s="16"/>
      <c r="AD133" s="16"/>
      <c r="AE133" s="16"/>
      <c r="AF133" s="16"/>
      <c r="AG133" s="16"/>
      <c r="AH133" s="16"/>
      <c r="AI133" s="16"/>
      <c r="AJ133" s="63">
        <v>409.23131000000001</v>
      </c>
      <c r="AK133" s="16"/>
      <c r="AL133" s="16"/>
      <c r="AM133" s="16"/>
      <c r="AN133" s="16"/>
      <c r="AO133" s="16"/>
      <c r="AP133" s="16"/>
      <c r="AQ133" s="256">
        <v>0.96080375557540021</v>
      </c>
      <c r="AR133" s="16"/>
      <c r="AS133" s="16"/>
      <c r="AT133" s="16"/>
      <c r="AU133" s="16"/>
      <c r="AV133" s="16"/>
      <c r="AW133" s="16"/>
      <c r="AX133" s="16"/>
      <c r="AY133" s="16"/>
      <c r="AZ133" s="16"/>
      <c r="BA133" s="16"/>
      <c r="BB133" s="16"/>
      <c r="BC133" s="16"/>
      <c r="BD133" s="16"/>
      <c r="BE133" s="16"/>
      <c r="BF133" s="16"/>
      <c r="BG133" s="16"/>
      <c r="BH133" s="16"/>
      <c r="BI133" s="16"/>
      <c r="BJ133" s="16"/>
      <c r="BK133" s="16"/>
    </row>
    <row r="134" spans="1:63">
      <c r="A134" s="75" t="s">
        <v>415</v>
      </c>
      <c r="B134" s="47" t="s">
        <v>416</v>
      </c>
      <c r="C134" s="47" t="s">
        <v>21</v>
      </c>
      <c r="D134" s="47" t="s">
        <v>417</v>
      </c>
      <c r="E134" s="47" t="s">
        <v>418</v>
      </c>
      <c r="F134" s="76" t="s">
        <v>419</v>
      </c>
      <c r="G134" s="47" t="s">
        <v>420</v>
      </c>
      <c r="H134" s="77" t="s">
        <v>421</v>
      </c>
      <c r="I134" s="76" t="s">
        <v>422</v>
      </c>
      <c r="J134" s="47" t="s">
        <v>423</v>
      </c>
      <c r="K134" s="76" t="s">
        <v>424</v>
      </c>
      <c r="L134" s="122" t="s">
        <v>425</v>
      </c>
      <c r="M134" s="79" t="s">
        <v>493</v>
      </c>
      <c r="N134" s="16"/>
      <c r="O134" s="79" t="s">
        <v>426</v>
      </c>
      <c r="P134" s="47" t="s">
        <v>427</v>
      </c>
      <c r="Q134" s="79" t="s">
        <v>428</v>
      </c>
      <c r="R134" s="80" t="s">
        <v>430</v>
      </c>
      <c r="S134" s="47" t="s">
        <v>431</v>
      </c>
      <c r="T134" s="47" t="s">
        <v>432</v>
      </c>
      <c r="U134" s="47" t="s">
        <v>433</v>
      </c>
      <c r="V134" s="47" t="s">
        <v>434</v>
      </c>
      <c r="W134" s="75" t="s">
        <v>429</v>
      </c>
      <c r="X134" s="16"/>
      <c r="Y134" s="57"/>
      <c r="Z134" s="57"/>
      <c r="AA134" s="16"/>
      <c r="AB134" s="16"/>
      <c r="AC134" s="16"/>
      <c r="AD134" s="16"/>
      <c r="AE134" s="16"/>
      <c r="AF134" s="16"/>
      <c r="AG134" s="16"/>
      <c r="AH134" s="16"/>
      <c r="AI134" s="16"/>
      <c r="AJ134" s="63">
        <v>481.93334999999996</v>
      </c>
      <c r="AK134" s="16"/>
      <c r="AL134" s="16"/>
      <c r="AM134" s="16"/>
      <c r="AN134" s="16"/>
      <c r="AO134" s="16"/>
      <c r="AP134" s="16"/>
      <c r="AQ134" s="215">
        <v>0.96429235616608999</v>
      </c>
      <c r="AR134" s="16"/>
      <c r="AS134" s="16"/>
      <c r="AT134" s="16"/>
      <c r="AU134" s="16"/>
      <c r="AV134" s="16"/>
      <c r="AW134" s="16"/>
      <c r="AX134" s="16"/>
      <c r="AY134" s="16"/>
      <c r="AZ134" s="16"/>
      <c r="BA134" s="16"/>
      <c r="BB134" s="16"/>
      <c r="BC134" s="16"/>
      <c r="BD134" s="16"/>
      <c r="BE134" s="16"/>
      <c r="BF134" s="16"/>
      <c r="BG134" s="16"/>
      <c r="BH134" s="16"/>
      <c r="BI134" s="16"/>
      <c r="BJ134" s="16"/>
      <c r="BK134" s="16"/>
    </row>
    <row r="135" spans="1:63">
      <c r="A135" s="16" t="s">
        <v>557</v>
      </c>
      <c r="B135" s="38">
        <v>304</v>
      </c>
      <c r="C135" s="81">
        <v>45609</v>
      </c>
      <c r="D135" s="82" t="s">
        <v>436</v>
      </c>
      <c r="E135" s="38" t="s">
        <v>437</v>
      </c>
      <c r="F135" s="55" t="s">
        <v>438</v>
      </c>
      <c r="G135" s="38" t="s">
        <v>439</v>
      </c>
      <c r="H135" s="61">
        <v>1000</v>
      </c>
      <c r="I135" s="61" t="s">
        <v>439</v>
      </c>
      <c r="J135" s="38" t="s">
        <v>440</v>
      </c>
      <c r="K135" s="61">
        <v>20.7</v>
      </c>
      <c r="L135" s="123" t="s">
        <v>442</v>
      </c>
      <c r="M135" s="63" t="s">
        <v>494</v>
      </c>
      <c r="N135" s="16"/>
      <c r="O135" s="63" t="s">
        <v>443</v>
      </c>
      <c r="P135" s="63" t="s">
        <v>443</v>
      </c>
      <c r="Q135" s="63" t="s">
        <v>444</v>
      </c>
      <c r="R135" s="86" t="s">
        <v>445</v>
      </c>
      <c r="S135" s="38" t="s">
        <v>446</v>
      </c>
      <c r="T135" s="38" t="s">
        <v>447</v>
      </c>
      <c r="U135" s="38" t="s">
        <v>443</v>
      </c>
      <c r="V135" s="38" t="s">
        <v>449</v>
      </c>
      <c r="W135" s="16" t="s">
        <v>444</v>
      </c>
      <c r="X135" s="16"/>
      <c r="Y135" s="57"/>
      <c r="Z135" s="16"/>
      <c r="AA135" s="16"/>
      <c r="AB135" s="16"/>
      <c r="AC135" s="16"/>
      <c r="AD135" s="16"/>
      <c r="AE135" s="16"/>
      <c r="AF135" s="16"/>
      <c r="AG135" s="16"/>
      <c r="AH135" s="16"/>
      <c r="AI135" s="16"/>
      <c r="AJ135" s="63">
        <v>530.57114000000001</v>
      </c>
      <c r="AK135" s="16"/>
      <c r="AL135" s="16"/>
      <c r="AM135" s="16"/>
      <c r="AN135" s="16"/>
      <c r="AO135" s="16"/>
      <c r="AP135" s="16"/>
      <c r="AQ135" s="246">
        <v>0.96612610075939032</v>
      </c>
      <c r="AR135" s="16"/>
      <c r="AS135" s="16"/>
      <c r="AT135" s="16"/>
      <c r="AU135" s="16"/>
      <c r="AV135" s="16"/>
      <c r="AW135" s="16"/>
      <c r="AX135" s="16"/>
      <c r="AY135" s="16"/>
      <c r="AZ135" s="16"/>
      <c r="BA135" s="16"/>
      <c r="BB135" s="16"/>
      <c r="BC135" s="16"/>
      <c r="BD135" s="16"/>
      <c r="BE135" s="16"/>
      <c r="BF135" s="16"/>
      <c r="BG135" s="16"/>
      <c r="BH135" s="16"/>
      <c r="BI135" s="16"/>
      <c r="BJ135" s="16"/>
      <c r="BK135" s="16"/>
    </row>
    <row r="136" spans="1:63">
      <c r="A136" s="124" t="s">
        <v>450</v>
      </c>
      <c r="B136" s="125" t="s">
        <v>451</v>
      </c>
      <c r="C136" s="126" t="s">
        <v>452</v>
      </c>
      <c r="D136" s="125" t="s">
        <v>453</v>
      </c>
      <c r="E136" s="126" t="s">
        <v>454</v>
      </c>
      <c r="F136" s="127" t="s">
        <v>455</v>
      </c>
      <c r="G136" s="125" t="s">
        <v>456</v>
      </c>
      <c r="H136" s="125" t="s">
        <v>457</v>
      </c>
      <c r="I136" s="126" t="s">
        <v>458</v>
      </c>
      <c r="J136" s="125" t="s">
        <v>459</v>
      </c>
      <c r="K136" s="125" t="s">
        <v>460</v>
      </c>
      <c r="L136" s="128" t="s">
        <v>461</v>
      </c>
      <c r="M136" s="129" t="s">
        <v>462</v>
      </c>
      <c r="N136" s="129" t="s">
        <v>463</v>
      </c>
      <c r="O136" s="119" t="s">
        <v>464</v>
      </c>
      <c r="P136" s="119" t="s">
        <v>465</v>
      </c>
      <c r="Q136" s="128" t="s">
        <v>367</v>
      </c>
      <c r="R136" s="119" t="s">
        <v>466</v>
      </c>
      <c r="S136" s="127" t="s">
        <v>467</v>
      </c>
      <c r="T136" s="127" t="s">
        <v>468</v>
      </c>
      <c r="U136" s="125" t="s">
        <v>469</v>
      </c>
      <c r="V136" s="125" t="s">
        <v>470</v>
      </c>
      <c r="W136" s="125" t="s">
        <v>471</v>
      </c>
      <c r="X136" s="125" t="s">
        <v>472</v>
      </c>
      <c r="Y136" s="125" t="s">
        <v>473</v>
      </c>
      <c r="Z136" s="125" t="s">
        <v>474</v>
      </c>
      <c r="AA136" s="125" t="s">
        <v>475</v>
      </c>
      <c r="AB136" s="126" t="s">
        <v>476</v>
      </c>
      <c r="AC136" s="125" t="s">
        <v>477</v>
      </c>
      <c r="AD136" s="125" t="s">
        <v>478</v>
      </c>
      <c r="AE136" s="125" t="s">
        <v>495</v>
      </c>
      <c r="AF136" s="125" t="s">
        <v>496</v>
      </c>
      <c r="AG136" s="16"/>
      <c r="AH136" s="16"/>
      <c r="AI136" s="16"/>
      <c r="AJ136" s="63">
        <v>595.90733</v>
      </c>
      <c r="AK136" s="16"/>
      <c r="AL136" s="16"/>
      <c r="AM136" s="16"/>
      <c r="AN136" s="152"/>
      <c r="AO136" s="16"/>
      <c r="AP136" s="16"/>
      <c r="AQ136" s="257">
        <v>0.96779276147783388</v>
      </c>
      <c r="AR136" s="16"/>
      <c r="AS136" s="16"/>
      <c r="AT136" s="16"/>
      <c r="AU136" s="16"/>
      <c r="AV136" s="16"/>
      <c r="AW136" s="16"/>
      <c r="AX136" s="16"/>
      <c r="AY136" s="16"/>
      <c r="AZ136" s="16"/>
      <c r="BA136" s="16"/>
      <c r="BB136" s="16"/>
      <c r="BC136" s="16"/>
      <c r="BD136" s="16"/>
      <c r="BE136" s="16"/>
      <c r="BF136" s="16"/>
      <c r="BG136" s="16"/>
      <c r="BH136" s="16"/>
      <c r="BI136" s="16"/>
      <c r="BJ136" s="16"/>
      <c r="BK136" s="16"/>
    </row>
    <row r="137" spans="1:63">
      <c r="A137" s="16" t="s">
        <v>558</v>
      </c>
      <c r="B137" s="38">
        <v>85</v>
      </c>
      <c r="C137" s="61">
        <v>24.1</v>
      </c>
      <c r="D137" s="38" t="s">
        <v>481</v>
      </c>
      <c r="E137" s="38">
        <v>200.72</v>
      </c>
      <c r="F137" s="38">
        <v>53.5</v>
      </c>
      <c r="G137" s="38">
        <v>24.11</v>
      </c>
      <c r="H137" s="38">
        <v>0.09</v>
      </c>
      <c r="I137" s="61">
        <v>96.6</v>
      </c>
      <c r="J137" s="38">
        <v>2777</v>
      </c>
      <c r="K137" s="55"/>
      <c r="L137" s="135">
        <f t="shared" ref="L137:L175" si="28">(J137/1000)*1/(2*PI()*0.0000000224*I137*1000)</f>
        <v>204.25413938470192</v>
      </c>
      <c r="M137" s="39">
        <f t="shared" ref="M137:M175" si="29">(0.00561673546297382+ 0.406460306032157*H137
    -0.0000254657386682608*H137*H137)*1000</f>
        <v>42.197956733384729</v>
      </c>
      <c r="N137" s="63">
        <f t="shared" ref="N137:N175" si="30">E137*F137/1000</f>
        <v>10.738520000000001</v>
      </c>
      <c r="O137" s="63">
        <f t="shared" ref="O137:O175" si="31">M137*G137/1000</f>
        <v>1.0173927368419058</v>
      </c>
      <c r="P137" s="258">
        <f t="shared" ref="P137:P175" si="32">N137-O137</f>
        <v>9.7211272631580954</v>
      </c>
      <c r="Q137" s="114">
        <f t="shared" ref="Q137:Q175" si="33">O137/N137</f>
        <v>9.474236085064848E-2</v>
      </c>
      <c r="R137" s="106">
        <f t="shared" ref="R137:R175" si="34">28/2*(1/((E137/G137)*0.5))</f>
        <v>3.3632921482662415</v>
      </c>
      <c r="S137" s="16"/>
      <c r="T137" s="16"/>
      <c r="U137" s="16"/>
      <c r="V137" s="16"/>
      <c r="W137" s="16"/>
      <c r="X137" s="16"/>
      <c r="Y137" s="16"/>
      <c r="Z137" s="16"/>
      <c r="AA137" s="16"/>
      <c r="AB137" s="16"/>
      <c r="AC137" s="16"/>
      <c r="AD137" s="16"/>
      <c r="AE137" s="16"/>
      <c r="AF137" s="16"/>
      <c r="AG137" s="16"/>
      <c r="AH137" s="16"/>
      <c r="AI137" s="16"/>
      <c r="AJ137" s="63">
        <v>622.96132499999999</v>
      </c>
      <c r="AK137" s="16"/>
      <c r="AL137" s="16"/>
      <c r="AM137" s="16"/>
      <c r="AN137" s="152"/>
      <c r="AO137" s="16"/>
      <c r="AP137" s="16"/>
      <c r="AQ137" s="259">
        <v>0.96855766759779049</v>
      </c>
      <c r="AR137" s="16"/>
      <c r="AS137" s="16"/>
      <c r="AT137" s="16"/>
      <c r="AU137" s="16"/>
      <c r="AV137" s="16"/>
      <c r="AW137" s="16"/>
      <c r="AX137" s="16"/>
      <c r="AY137" s="16"/>
      <c r="AZ137" s="16"/>
      <c r="BA137" s="16"/>
      <c r="BB137" s="16"/>
      <c r="BC137" s="16"/>
      <c r="BD137" s="16"/>
      <c r="BE137" s="16"/>
      <c r="BF137" s="16"/>
      <c r="BG137" s="16"/>
      <c r="BH137" s="16"/>
      <c r="BI137" s="16"/>
      <c r="BJ137" s="16"/>
      <c r="BK137" s="16"/>
    </row>
    <row r="138" spans="1:63">
      <c r="A138" s="18">
        <v>1543</v>
      </c>
      <c r="B138" s="38">
        <v>85</v>
      </c>
      <c r="C138" s="61">
        <v>24.1</v>
      </c>
      <c r="D138" s="38" t="s">
        <v>481</v>
      </c>
      <c r="E138" s="38">
        <v>200.77</v>
      </c>
      <c r="F138" s="38">
        <v>122.9</v>
      </c>
      <c r="G138" s="38">
        <v>24.12</v>
      </c>
      <c r="H138" s="38">
        <v>1.51</v>
      </c>
      <c r="I138" s="61">
        <v>96.2</v>
      </c>
      <c r="J138" s="38">
        <v>2880</v>
      </c>
      <c r="K138" s="55"/>
      <c r="L138" s="135">
        <f t="shared" si="28"/>
        <v>212.71079415311226</v>
      </c>
      <c r="M138" s="39">
        <f t="shared" si="29"/>
        <v>619.31373314079326</v>
      </c>
      <c r="N138" s="63">
        <f t="shared" si="30"/>
        <v>24.674633</v>
      </c>
      <c r="O138" s="63">
        <f t="shared" si="31"/>
        <v>14.937847243355934</v>
      </c>
      <c r="P138" s="147">
        <f t="shared" si="32"/>
        <v>9.7367857566440659</v>
      </c>
      <c r="Q138" s="114">
        <f t="shared" si="33"/>
        <v>0.60539288439896688</v>
      </c>
      <c r="R138" s="106">
        <f t="shared" si="34"/>
        <v>3.3638491806544799</v>
      </c>
      <c r="S138" s="16"/>
      <c r="T138" s="16"/>
      <c r="U138" s="16"/>
      <c r="V138" s="16"/>
      <c r="W138" s="16"/>
      <c r="X138" s="16"/>
      <c r="Y138" s="16"/>
      <c r="Z138" s="16"/>
      <c r="AA138" s="16"/>
      <c r="AB138" s="16"/>
      <c r="AC138" s="16"/>
      <c r="AD138" s="16"/>
      <c r="AE138" s="16"/>
      <c r="AF138" s="16"/>
      <c r="AG138" s="16"/>
      <c r="AH138" s="16"/>
      <c r="AI138" s="16"/>
      <c r="AJ138" s="63">
        <v>679.10366999999997</v>
      </c>
      <c r="AK138" s="16"/>
      <c r="AL138" s="16"/>
      <c r="AM138" s="16"/>
      <c r="AN138" s="152"/>
      <c r="AO138" s="16"/>
      <c r="AP138" s="16"/>
      <c r="AQ138" s="260">
        <v>0.96910505835974947</v>
      </c>
      <c r="AR138" s="16"/>
      <c r="AS138" s="16"/>
      <c r="AT138" s="16"/>
      <c r="AU138" s="16"/>
      <c r="AV138" s="16"/>
      <c r="AW138" s="16"/>
      <c r="AX138" s="16"/>
      <c r="AY138" s="16"/>
      <c r="AZ138" s="16"/>
      <c r="BA138" s="16"/>
      <c r="BB138" s="16"/>
      <c r="BC138" s="16"/>
      <c r="BD138" s="16"/>
      <c r="BE138" s="16"/>
      <c r="BF138" s="16"/>
      <c r="BG138" s="16"/>
      <c r="BH138" s="16"/>
      <c r="BI138" s="16"/>
      <c r="BJ138" s="16"/>
      <c r="BK138" s="16"/>
    </row>
    <row r="139" spans="1:63">
      <c r="A139" s="18">
        <v>1828</v>
      </c>
      <c r="B139" s="38">
        <v>85</v>
      </c>
      <c r="C139" s="61">
        <v>24.1</v>
      </c>
      <c r="D139" s="38" t="s">
        <v>481</v>
      </c>
      <c r="E139" s="38">
        <v>200.76</v>
      </c>
      <c r="F139" s="38">
        <v>192.5</v>
      </c>
      <c r="G139" s="38">
        <v>24.12</v>
      </c>
      <c r="H139" s="38">
        <v>2.92</v>
      </c>
      <c r="I139" s="61">
        <v>96</v>
      </c>
      <c r="J139" s="38">
        <v>2954</v>
      </c>
      <c r="K139" s="55"/>
      <c r="L139" s="135">
        <f t="shared" si="28"/>
        <v>218.63081375253853</v>
      </c>
      <c r="M139" s="39">
        <f t="shared" si="29"/>
        <v>1192.2636980026912</v>
      </c>
      <c r="N139" s="63">
        <f t="shared" si="30"/>
        <v>38.646299999999997</v>
      </c>
      <c r="O139" s="63">
        <f t="shared" si="31"/>
        <v>28.757400395824913</v>
      </c>
      <c r="P139" s="192">
        <f t="shared" si="32"/>
        <v>9.8888996041750836</v>
      </c>
      <c r="Q139" s="114">
        <f t="shared" si="33"/>
        <v>0.74411781712155922</v>
      </c>
      <c r="R139" s="106">
        <f t="shared" si="34"/>
        <v>3.3640167364016742</v>
      </c>
      <c r="S139" s="16"/>
      <c r="T139" s="16"/>
      <c r="U139" s="16"/>
      <c r="V139" s="16"/>
      <c r="W139" s="16"/>
      <c r="X139" s="16"/>
      <c r="Y139" s="16"/>
      <c r="Z139" s="16"/>
      <c r="AA139" s="16"/>
      <c r="AB139" s="16"/>
      <c r="AC139" s="16"/>
      <c r="AD139" s="16"/>
      <c r="AE139" s="16"/>
      <c r="AF139" s="16"/>
      <c r="AG139" s="16"/>
      <c r="AH139" s="16"/>
      <c r="AI139" s="16"/>
      <c r="AJ139" s="63">
        <v>727.32272499999999</v>
      </c>
      <c r="AK139" s="16"/>
      <c r="AL139" s="16"/>
      <c r="AM139" s="16"/>
      <c r="AN139" s="152"/>
      <c r="AO139" s="16"/>
      <c r="AP139" s="16"/>
      <c r="AQ139" s="261">
        <v>0.96899153601585197</v>
      </c>
      <c r="AR139" s="16"/>
      <c r="AS139" s="16"/>
      <c r="AT139" s="16"/>
      <c r="AU139" s="16"/>
      <c r="AV139" s="16"/>
      <c r="AW139" s="16"/>
      <c r="AX139" s="16"/>
      <c r="AY139" s="16"/>
      <c r="AZ139" s="16"/>
      <c r="BA139" s="16"/>
      <c r="BB139" s="16"/>
      <c r="BC139" s="16"/>
      <c r="BD139" s="16"/>
      <c r="BE139" s="16"/>
      <c r="BF139" s="16"/>
      <c r="BG139" s="16"/>
      <c r="BH139" s="16"/>
      <c r="BI139" s="16"/>
      <c r="BJ139" s="16"/>
      <c r="BK139" s="16"/>
    </row>
    <row r="140" spans="1:63">
      <c r="A140" s="18">
        <v>2017</v>
      </c>
      <c r="B140" s="38">
        <v>85</v>
      </c>
      <c r="C140" s="61">
        <v>24.1</v>
      </c>
      <c r="D140" s="38" t="s">
        <v>481</v>
      </c>
      <c r="E140" s="38">
        <v>200.73</v>
      </c>
      <c r="F140" s="38">
        <v>263.8</v>
      </c>
      <c r="G140" s="38">
        <v>24.12</v>
      </c>
      <c r="H140" s="38">
        <v>4.37</v>
      </c>
      <c r="I140" s="61">
        <v>95.99</v>
      </c>
      <c r="J140" s="38">
        <v>3074</v>
      </c>
      <c r="K140" s="55"/>
      <c r="L140" s="135">
        <f t="shared" si="28"/>
        <v>227.53592964691552</v>
      </c>
      <c r="M140" s="39">
        <f t="shared" si="29"/>
        <v>1781.3619561587261</v>
      </c>
      <c r="N140" s="63">
        <f t="shared" si="30"/>
        <v>52.952573999999998</v>
      </c>
      <c r="O140" s="63">
        <f t="shared" si="31"/>
        <v>42.96645038254848</v>
      </c>
      <c r="P140" s="219">
        <f t="shared" si="32"/>
        <v>9.9861236174515184</v>
      </c>
      <c r="Q140" s="114">
        <f t="shared" si="33"/>
        <v>0.81141382064918088</v>
      </c>
      <c r="R140" s="106">
        <f t="shared" si="34"/>
        <v>3.3645195038110893</v>
      </c>
      <c r="S140" s="16"/>
      <c r="T140" s="16"/>
      <c r="U140" s="16"/>
      <c r="V140" s="16"/>
      <c r="W140" s="16"/>
      <c r="X140" s="16"/>
      <c r="Y140" s="16"/>
      <c r="Z140" s="16"/>
      <c r="AA140" s="16"/>
      <c r="AB140" s="16"/>
      <c r="AC140" s="16"/>
      <c r="AD140" s="16"/>
      <c r="AE140" s="16"/>
      <c r="AF140" s="16"/>
      <c r="AG140" s="16"/>
      <c r="AH140" s="16"/>
      <c r="AI140" s="16"/>
      <c r="AJ140" s="63">
        <v>786.57133499999998</v>
      </c>
      <c r="AK140" s="16"/>
      <c r="AL140" s="16"/>
      <c r="AM140" s="16"/>
      <c r="AN140" s="152"/>
      <c r="AO140" s="16"/>
      <c r="AP140" s="16"/>
      <c r="AQ140" s="261">
        <v>0.96884719777329187</v>
      </c>
      <c r="AR140" s="16"/>
      <c r="AS140" s="16"/>
      <c r="AT140" s="16"/>
      <c r="AU140" s="16"/>
      <c r="AV140" s="16"/>
      <c r="AW140" s="16"/>
      <c r="AX140" s="16"/>
      <c r="AY140" s="16"/>
      <c r="AZ140" s="16"/>
      <c r="BA140" s="16"/>
      <c r="BB140" s="16"/>
      <c r="BC140" s="16"/>
      <c r="BD140" s="16"/>
      <c r="BE140" s="16"/>
      <c r="BF140" s="16"/>
      <c r="BG140" s="16"/>
      <c r="BH140" s="16"/>
      <c r="BI140" s="16"/>
      <c r="BJ140" s="16"/>
      <c r="BK140" s="16"/>
    </row>
    <row r="141" spans="1:63">
      <c r="A141" s="16" t="s">
        <v>559</v>
      </c>
      <c r="B141" s="38">
        <v>85</v>
      </c>
      <c r="C141" s="61">
        <v>24.1</v>
      </c>
      <c r="D141" s="38" t="s">
        <v>481</v>
      </c>
      <c r="E141" s="38">
        <v>200.65</v>
      </c>
      <c r="F141" s="38">
        <v>410.8</v>
      </c>
      <c r="G141" s="38">
        <v>24.13</v>
      </c>
      <c r="H141" s="38">
        <v>7.35</v>
      </c>
      <c r="I141" s="61">
        <v>95.88</v>
      </c>
      <c r="J141" s="38">
        <v>3223</v>
      </c>
      <c r="K141" s="55"/>
      <c r="L141" s="135">
        <f t="shared" si="28"/>
        <v>238.83853216128546</v>
      </c>
      <c r="M141" s="39">
        <f t="shared" si="29"/>
        <v>2991.7242619321219</v>
      </c>
      <c r="N141" s="63">
        <f t="shared" si="30"/>
        <v>82.427019999999999</v>
      </c>
      <c r="O141" s="63">
        <f t="shared" si="31"/>
        <v>72.190306440422091</v>
      </c>
      <c r="P141" s="200">
        <f t="shared" si="32"/>
        <v>10.236713559577908</v>
      </c>
      <c r="Q141" s="114">
        <f t="shared" si="33"/>
        <v>0.87580876319951995</v>
      </c>
      <c r="R141" s="106">
        <f t="shared" si="34"/>
        <v>3.3672564166459003</v>
      </c>
      <c r="S141" s="16"/>
      <c r="T141" s="16"/>
      <c r="U141" s="16"/>
      <c r="V141" s="16"/>
      <c r="W141" s="16"/>
      <c r="X141" s="16"/>
      <c r="Y141" s="16"/>
      <c r="Z141" s="16"/>
      <c r="AA141" s="16"/>
      <c r="AB141" s="16"/>
      <c r="AC141" s="16"/>
      <c r="AD141" s="16"/>
      <c r="AE141" s="16"/>
      <c r="AF141" s="16"/>
      <c r="AG141" s="16"/>
      <c r="AH141" s="16"/>
      <c r="AI141" s="16"/>
      <c r="AJ141" s="63">
        <v>10.43017</v>
      </c>
      <c r="AK141" s="16"/>
      <c r="AL141" s="16"/>
      <c r="AM141" s="16"/>
      <c r="AN141" s="16"/>
      <c r="AO141" s="16"/>
      <c r="AP141" s="16"/>
      <c r="AQ141" s="16"/>
      <c r="AR141" s="114">
        <v>0.15423513084354754</v>
      </c>
      <c r="AS141" s="16"/>
      <c r="AT141" s="16"/>
      <c r="AU141" s="16"/>
      <c r="AV141" s="16"/>
      <c r="AW141" s="16"/>
      <c r="AX141" s="16"/>
      <c r="AY141" s="16"/>
      <c r="AZ141" s="16"/>
      <c r="BA141" s="16"/>
      <c r="BB141" s="16"/>
      <c r="BC141" s="16"/>
      <c r="BD141" s="16"/>
      <c r="BE141" s="16"/>
      <c r="BF141" s="16"/>
      <c r="BG141" s="16"/>
      <c r="BH141" s="16"/>
      <c r="BI141" s="16"/>
      <c r="BJ141" s="16"/>
      <c r="BK141" s="16"/>
    </row>
    <row r="142" spans="1:63">
      <c r="A142" s="16" t="s">
        <v>560</v>
      </c>
      <c r="B142" s="38">
        <v>85</v>
      </c>
      <c r="C142" s="61">
        <v>24.1</v>
      </c>
      <c r="D142" s="38" t="s">
        <v>481</v>
      </c>
      <c r="E142" s="38">
        <v>200.61</v>
      </c>
      <c r="F142" s="38">
        <v>633.4</v>
      </c>
      <c r="G142" s="38">
        <v>24.13</v>
      </c>
      <c r="H142" s="38">
        <v>11.9</v>
      </c>
      <c r="I142" s="61">
        <v>95.68</v>
      </c>
      <c r="J142" s="38">
        <v>3218</v>
      </c>
      <c r="K142" s="55"/>
      <c r="L142" s="135">
        <f t="shared" si="28"/>
        <v>238.9664800029671</v>
      </c>
      <c r="M142" s="39">
        <f t="shared" si="29"/>
        <v>4838.8881739928302</v>
      </c>
      <c r="N142" s="63">
        <f t="shared" si="30"/>
        <v>127.06637400000001</v>
      </c>
      <c r="O142" s="63">
        <f t="shared" si="31"/>
        <v>116.76237163844699</v>
      </c>
      <c r="P142" s="181">
        <f t="shared" si="32"/>
        <v>10.304002361553017</v>
      </c>
      <c r="Q142" s="173">
        <f t="shared" si="33"/>
        <v>0.91890850397955781</v>
      </c>
      <c r="R142" s="106">
        <f t="shared" si="34"/>
        <v>3.3679278201485463</v>
      </c>
      <c r="S142" s="16"/>
      <c r="T142" s="16"/>
      <c r="U142" s="16"/>
      <c r="V142" s="16"/>
      <c r="W142" s="16"/>
      <c r="X142" s="16"/>
      <c r="Y142" s="16"/>
      <c r="Z142" s="16"/>
      <c r="AA142" s="16"/>
      <c r="AB142" s="16"/>
      <c r="AC142" s="16"/>
      <c r="AD142" s="16"/>
      <c r="AE142" s="16"/>
      <c r="AF142" s="16"/>
      <c r="AG142" s="16"/>
      <c r="AH142" s="16"/>
      <c r="AI142" s="16"/>
      <c r="AJ142" s="63">
        <v>23.99343</v>
      </c>
      <c r="AK142" s="16"/>
      <c r="AL142" s="16"/>
      <c r="AM142" s="16"/>
      <c r="AN142" s="16"/>
      <c r="AO142" s="16"/>
      <c r="AP142" s="16"/>
      <c r="AQ142" s="16"/>
      <c r="AR142" s="114">
        <v>0.61542910238101023</v>
      </c>
      <c r="AS142" s="16"/>
      <c r="AT142" s="16"/>
      <c r="AU142" s="16"/>
      <c r="AV142" s="16"/>
      <c r="AW142" s="16"/>
      <c r="AX142" s="16"/>
      <c r="AY142" s="16"/>
      <c r="AZ142" s="16"/>
      <c r="BA142" s="16"/>
      <c r="BB142" s="16"/>
      <c r="BC142" s="16"/>
      <c r="BD142" s="16"/>
      <c r="BE142" s="16"/>
      <c r="BF142" s="16"/>
      <c r="BG142" s="16"/>
      <c r="BH142" s="16"/>
      <c r="BI142" s="16"/>
      <c r="BJ142" s="16"/>
      <c r="BK142" s="16"/>
    </row>
    <row r="143" spans="1:63">
      <c r="A143" s="18">
        <v>2718</v>
      </c>
      <c r="B143" s="38">
        <v>85</v>
      </c>
      <c r="C143" s="61">
        <v>24.1</v>
      </c>
      <c r="D143" s="38" t="s">
        <v>481</v>
      </c>
      <c r="E143" s="38">
        <v>200.59</v>
      </c>
      <c r="F143" s="38">
        <v>789</v>
      </c>
      <c r="G143" s="38">
        <v>24.14</v>
      </c>
      <c r="H143" s="38">
        <v>15.08</v>
      </c>
      <c r="I143" s="61">
        <v>95.4</v>
      </c>
      <c r="J143" s="38">
        <v>3388</v>
      </c>
      <c r="K143" s="55"/>
      <c r="L143" s="135">
        <f t="shared" si="28"/>
        <v>252.32898472378582</v>
      </c>
      <c r="M143" s="39">
        <f t="shared" si="29"/>
        <v>6129.2470784740108</v>
      </c>
      <c r="N143" s="63">
        <f t="shared" si="30"/>
        <v>158.26551000000001</v>
      </c>
      <c r="O143" s="63">
        <f t="shared" si="31"/>
        <v>147.9600244743626</v>
      </c>
      <c r="P143" s="181">
        <f t="shared" si="32"/>
        <v>10.305485525637408</v>
      </c>
      <c r="Q143" s="175">
        <f t="shared" si="33"/>
        <v>0.9348848303990086</v>
      </c>
      <c r="R143" s="106">
        <f t="shared" si="34"/>
        <v>3.3696595044618376</v>
      </c>
      <c r="S143" s="16"/>
      <c r="T143" s="16"/>
      <c r="U143" s="16"/>
      <c r="V143" s="16"/>
      <c r="W143" s="16"/>
      <c r="X143" s="16"/>
      <c r="Y143" s="16"/>
      <c r="Z143" s="16"/>
      <c r="AA143" s="16"/>
      <c r="AB143" s="16"/>
      <c r="AC143" s="16"/>
      <c r="AD143" s="16"/>
      <c r="AE143" s="16"/>
      <c r="AF143" s="16"/>
      <c r="AG143" s="16"/>
      <c r="AH143" s="16"/>
      <c r="AI143" s="16"/>
      <c r="AJ143" s="63">
        <v>37.253039999999991</v>
      </c>
      <c r="AK143" s="16"/>
      <c r="AL143" s="16"/>
      <c r="AM143" s="16"/>
      <c r="AN143" s="16"/>
      <c r="AO143" s="16"/>
      <c r="AP143" s="16"/>
      <c r="AQ143" s="16"/>
      <c r="AR143" s="114">
        <v>0.74687692599478239</v>
      </c>
      <c r="AS143" s="16"/>
      <c r="AT143" s="16"/>
      <c r="AU143" s="16"/>
      <c r="AV143" s="16"/>
      <c r="AW143" s="16"/>
      <c r="AX143" s="16"/>
      <c r="AY143" s="16"/>
      <c r="AZ143" s="16"/>
      <c r="BA143" s="16"/>
      <c r="BB143" s="16"/>
      <c r="BC143" s="16"/>
      <c r="BD143" s="16"/>
      <c r="BE143" s="16"/>
      <c r="BF143" s="16"/>
      <c r="BG143" s="16"/>
      <c r="BH143" s="16"/>
      <c r="BI143" s="16"/>
      <c r="BJ143" s="16"/>
      <c r="BK143" s="16"/>
    </row>
    <row r="144" spans="1:63">
      <c r="A144" s="18">
        <v>2860</v>
      </c>
      <c r="B144" s="38">
        <v>85</v>
      </c>
      <c r="C144" s="61">
        <v>24.1</v>
      </c>
      <c r="D144" s="38" t="s">
        <v>481</v>
      </c>
      <c r="E144" s="38">
        <v>200.49</v>
      </c>
      <c r="F144" s="38">
        <v>1034.3</v>
      </c>
      <c r="G144" s="38">
        <v>24.14</v>
      </c>
      <c r="H144" s="38">
        <v>20.03</v>
      </c>
      <c r="I144" s="61">
        <v>94.78</v>
      </c>
      <c r="J144" s="38">
        <v>3461</v>
      </c>
      <c r="K144" s="55"/>
      <c r="L144" s="135">
        <f t="shared" si="28"/>
        <v>259.4519912848221</v>
      </c>
      <c r="M144" s="39">
        <f t="shared" si="29"/>
        <v>8136.7997880142084</v>
      </c>
      <c r="N144" s="63">
        <f t="shared" si="30"/>
        <v>207.36680699999999</v>
      </c>
      <c r="O144" s="63">
        <f t="shared" si="31"/>
        <v>196.42234688266299</v>
      </c>
      <c r="P144" s="262">
        <f t="shared" si="32"/>
        <v>10.944460117337002</v>
      </c>
      <c r="Q144" s="177">
        <f t="shared" si="33"/>
        <v>0.94722173584253044</v>
      </c>
      <c r="R144" s="106">
        <f t="shared" si="34"/>
        <v>3.3713402164696489</v>
      </c>
      <c r="S144" s="16"/>
      <c r="T144" s="16"/>
      <c r="U144" s="16"/>
      <c r="V144" s="16"/>
      <c r="W144" s="16"/>
      <c r="X144" s="16"/>
      <c r="Y144" s="16"/>
      <c r="Z144" s="16"/>
      <c r="AA144" s="16"/>
      <c r="AB144" s="16"/>
      <c r="AC144" s="16"/>
      <c r="AD144" s="16"/>
      <c r="AE144" s="16"/>
      <c r="AF144" s="16"/>
      <c r="AG144" s="16"/>
      <c r="AH144" s="16"/>
      <c r="AI144" s="16"/>
      <c r="AJ144" s="63">
        <v>50.691274999999997</v>
      </c>
      <c r="AK144" s="16"/>
      <c r="AL144" s="16"/>
      <c r="AM144" s="16"/>
      <c r="AN144" s="16"/>
      <c r="AO144" s="16"/>
      <c r="AP144" s="16"/>
      <c r="AQ144" s="16"/>
      <c r="AR144" s="114">
        <v>0.81029209687237091</v>
      </c>
      <c r="AS144" s="16"/>
      <c r="AT144" s="16"/>
      <c r="AU144" s="16"/>
      <c r="AV144" s="16"/>
      <c r="AW144" s="16"/>
      <c r="AX144" s="16"/>
      <c r="AY144" s="16"/>
      <c r="AZ144" s="16"/>
      <c r="BA144" s="16"/>
      <c r="BB144" s="16"/>
      <c r="BC144" s="16"/>
      <c r="BD144" s="16"/>
      <c r="BE144" s="16"/>
      <c r="BF144" s="16"/>
      <c r="BG144" s="16"/>
      <c r="BH144" s="16"/>
      <c r="BI144" s="16"/>
      <c r="BJ144" s="16"/>
      <c r="BK144" s="16"/>
    </row>
    <row r="145" spans="1:63">
      <c r="A145" s="18">
        <v>2752</v>
      </c>
      <c r="B145" s="38">
        <v>85</v>
      </c>
      <c r="C145" s="61">
        <v>24.1</v>
      </c>
      <c r="D145" s="38" t="s">
        <v>481</v>
      </c>
      <c r="E145" s="38">
        <v>200.54</v>
      </c>
      <c r="F145" s="38">
        <v>1197</v>
      </c>
      <c r="G145" s="38">
        <v>24.14</v>
      </c>
      <c r="H145" s="38">
        <v>23.33</v>
      </c>
      <c r="I145" s="61">
        <v>94.2</v>
      </c>
      <c r="J145" s="38">
        <v>3459</v>
      </c>
      <c r="K145" s="55"/>
      <c r="L145" s="135">
        <f t="shared" si="28"/>
        <v>260.89861434394237</v>
      </c>
      <c r="M145" s="39">
        <f t="shared" si="29"/>
        <v>9474.4749563057612</v>
      </c>
      <c r="N145" s="63">
        <f t="shared" si="30"/>
        <v>240.04638</v>
      </c>
      <c r="O145" s="63">
        <f t="shared" si="31"/>
        <v>228.71382544522106</v>
      </c>
      <c r="P145" s="240">
        <f t="shared" si="32"/>
        <v>11.332554554778937</v>
      </c>
      <c r="Q145" s="180">
        <f t="shared" si="33"/>
        <v>0.95279014599270795</v>
      </c>
      <c r="R145" s="106">
        <f t="shared" si="34"/>
        <v>3.3704996509424556</v>
      </c>
      <c r="S145" s="18">
        <v>2</v>
      </c>
      <c r="T145" s="18">
        <v>67</v>
      </c>
      <c r="U145" s="18">
        <v>70</v>
      </c>
      <c r="V145" s="18">
        <v>73</v>
      </c>
      <c r="W145" s="18">
        <v>66</v>
      </c>
      <c r="X145" s="18">
        <v>71</v>
      </c>
      <c r="Y145" s="16"/>
      <c r="Z145" s="16"/>
      <c r="AA145" s="16"/>
      <c r="AB145" s="16"/>
      <c r="AC145" s="16"/>
      <c r="AD145" s="16"/>
      <c r="AE145" s="16"/>
      <c r="AF145" s="16"/>
      <c r="AG145" s="16"/>
      <c r="AH145" s="16"/>
      <c r="AI145" s="16"/>
      <c r="AJ145" s="63">
        <v>78.645825000000002</v>
      </c>
      <c r="AK145" s="16"/>
      <c r="AL145" s="16"/>
      <c r="AM145" s="16"/>
      <c r="AN145" s="16"/>
      <c r="AO145" s="16"/>
      <c r="AP145" s="16"/>
      <c r="AQ145" s="16"/>
      <c r="AR145" s="114">
        <v>0.87040424894752677</v>
      </c>
      <c r="AS145" s="16"/>
      <c r="AT145" s="16"/>
      <c r="AU145" s="16"/>
      <c r="AV145" s="16"/>
      <c r="AW145" s="16"/>
      <c r="AX145" s="16"/>
      <c r="AY145" s="16"/>
      <c r="AZ145" s="16"/>
      <c r="BA145" s="16"/>
      <c r="BB145" s="16"/>
      <c r="BC145" s="16"/>
      <c r="BD145" s="16"/>
      <c r="BE145" s="16"/>
      <c r="BF145" s="16"/>
      <c r="BG145" s="16"/>
      <c r="BH145" s="16"/>
      <c r="BI145" s="16"/>
      <c r="BJ145" s="16"/>
      <c r="BK145" s="16"/>
    </row>
    <row r="146" spans="1:63">
      <c r="A146" s="18">
        <v>2636</v>
      </c>
      <c r="B146" s="38">
        <v>85</v>
      </c>
      <c r="C146" s="61">
        <v>24.1</v>
      </c>
      <c r="D146" s="38" t="s">
        <v>481</v>
      </c>
      <c r="E146" s="38">
        <v>201</v>
      </c>
      <c r="F146" s="38">
        <v>1455</v>
      </c>
      <c r="G146" s="38">
        <v>24.15</v>
      </c>
      <c r="H146" s="38">
        <v>28.53</v>
      </c>
      <c r="I146" s="61">
        <v>93.65</v>
      </c>
      <c r="J146" s="38">
        <v>3642</v>
      </c>
      <c r="K146" s="55"/>
      <c r="L146" s="135">
        <f t="shared" si="28"/>
        <v>276.31488003426642</v>
      </c>
      <c r="M146" s="39">
        <f t="shared" si="29"/>
        <v>11581.201150994832</v>
      </c>
      <c r="N146" s="63">
        <f t="shared" si="30"/>
        <v>292.45499999999998</v>
      </c>
      <c r="O146" s="63">
        <f t="shared" si="31"/>
        <v>279.68600779652513</v>
      </c>
      <c r="P146" s="263">
        <f t="shared" si="32"/>
        <v>12.768992203474852</v>
      </c>
      <c r="Q146" s="183">
        <f t="shared" si="33"/>
        <v>0.95633860866295717</v>
      </c>
      <c r="R146" s="106">
        <f t="shared" si="34"/>
        <v>3.3641791044776115</v>
      </c>
      <c r="S146" s="18">
        <v>2</v>
      </c>
      <c r="T146" s="18">
        <v>71</v>
      </c>
      <c r="U146" s="18">
        <v>76</v>
      </c>
      <c r="V146" s="18">
        <v>78</v>
      </c>
      <c r="W146" s="18">
        <v>78</v>
      </c>
      <c r="X146" s="18">
        <v>82</v>
      </c>
      <c r="Y146" s="18">
        <v>98</v>
      </c>
      <c r="Z146" s="18">
        <v>66</v>
      </c>
      <c r="AA146" s="18">
        <v>90</v>
      </c>
      <c r="AB146" s="16"/>
      <c r="AC146" s="18">
        <v>23.3</v>
      </c>
      <c r="AD146" s="16"/>
      <c r="AE146" s="16"/>
      <c r="AF146" s="16"/>
      <c r="AG146" s="16"/>
      <c r="AH146" s="16"/>
      <c r="AI146" s="16"/>
      <c r="AJ146" s="63">
        <v>107.30525</v>
      </c>
      <c r="AK146" s="16"/>
      <c r="AL146" s="16"/>
      <c r="AM146" s="16"/>
      <c r="AN146" s="16"/>
      <c r="AO146" s="16"/>
      <c r="AP146" s="16"/>
      <c r="AQ146" s="16"/>
      <c r="AR146" s="191">
        <v>0.90213484248007125</v>
      </c>
      <c r="AS146" s="16"/>
      <c r="AT146" s="16"/>
      <c r="AU146" s="16"/>
      <c r="AV146" s="16"/>
      <c r="AW146" s="16"/>
      <c r="AX146" s="16"/>
      <c r="AY146" s="16"/>
      <c r="AZ146" s="16"/>
      <c r="BA146" s="16"/>
      <c r="BB146" s="16"/>
      <c r="BC146" s="16"/>
      <c r="BD146" s="16"/>
      <c r="BE146" s="16"/>
      <c r="BF146" s="16"/>
      <c r="BG146" s="16"/>
      <c r="BH146" s="16"/>
      <c r="BI146" s="16"/>
      <c r="BJ146" s="16"/>
      <c r="BK146" s="16"/>
    </row>
    <row r="147" spans="1:63">
      <c r="A147" s="18">
        <v>2602</v>
      </c>
      <c r="B147" s="38">
        <v>85</v>
      </c>
      <c r="C147" s="61">
        <v>24.1</v>
      </c>
      <c r="D147" s="38" t="s">
        <v>481</v>
      </c>
      <c r="E147" s="38">
        <v>201.22</v>
      </c>
      <c r="F147" s="38">
        <v>1546</v>
      </c>
      <c r="G147" s="38">
        <v>24.15</v>
      </c>
      <c r="H147" s="38">
        <v>30.36</v>
      </c>
      <c r="I147" s="61">
        <v>93.3</v>
      </c>
      <c r="J147" s="38">
        <v>3747</v>
      </c>
      <c r="K147" s="55"/>
      <c r="L147" s="135">
        <f t="shared" si="28"/>
        <v>285.34755960291864</v>
      </c>
      <c r="M147" s="39">
        <f t="shared" si="29"/>
        <v>12322.27910148286</v>
      </c>
      <c r="N147" s="63">
        <f t="shared" si="30"/>
        <v>311.08611999999999</v>
      </c>
      <c r="O147" s="63">
        <f t="shared" si="31"/>
        <v>297.58304030081104</v>
      </c>
      <c r="P147" s="264">
        <f t="shared" si="32"/>
        <v>13.503079699188959</v>
      </c>
      <c r="Q147" s="187">
        <f t="shared" si="33"/>
        <v>0.95659375706254923</v>
      </c>
      <c r="R147" s="106">
        <f t="shared" si="34"/>
        <v>3.360500944240135</v>
      </c>
      <c r="S147" s="16"/>
      <c r="T147" s="16"/>
      <c r="U147" s="16"/>
      <c r="V147" s="16"/>
      <c r="W147" s="16"/>
      <c r="X147" s="16"/>
      <c r="Y147" s="16"/>
      <c r="Z147" s="16"/>
      <c r="AA147" s="16"/>
      <c r="AB147" s="16"/>
      <c r="AC147" s="16"/>
      <c r="AD147" s="16"/>
      <c r="AE147" s="16"/>
      <c r="AF147" s="16"/>
      <c r="AG147" s="16"/>
      <c r="AH147" s="16"/>
      <c r="AI147" s="16"/>
      <c r="AJ147" s="63">
        <v>153.16488999999999</v>
      </c>
      <c r="AK147" s="16"/>
      <c r="AL147" s="16"/>
      <c r="AM147" s="16"/>
      <c r="AN147" s="16"/>
      <c r="AO147" s="16"/>
      <c r="AP147" s="16"/>
      <c r="AQ147" s="16"/>
      <c r="AR147" s="265">
        <v>0.92305015697476622</v>
      </c>
      <c r="AS147" s="16"/>
      <c r="AT147" s="16"/>
      <c r="AU147" s="16"/>
      <c r="AV147" s="16"/>
      <c r="AW147" s="16"/>
      <c r="AX147" s="16"/>
      <c r="AY147" s="16"/>
      <c r="AZ147" s="16"/>
      <c r="BA147" s="16"/>
      <c r="BB147" s="16"/>
      <c r="BC147" s="16"/>
      <c r="BD147" s="16"/>
      <c r="BE147" s="16"/>
      <c r="BF147" s="16"/>
      <c r="BG147" s="16"/>
      <c r="BH147" s="16"/>
      <c r="BI147" s="16"/>
      <c r="BJ147" s="16"/>
      <c r="BK147" s="16"/>
    </row>
    <row r="148" spans="1:63">
      <c r="A148" s="18">
        <v>2596</v>
      </c>
      <c r="B148" s="38">
        <v>85</v>
      </c>
      <c r="C148" s="61">
        <v>24.1</v>
      </c>
      <c r="D148" s="38" t="s">
        <v>481</v>
      </c>
      <c r="E148" s="38">
        <v>201.2</v>
      </c>
      <c r="F148" s="38">
        <v>1593.5</v>
      </c>
      <c r="G148" s="38">
        <v>24.15</v>
      </c>
      <c r="H148" s="38">
        <v>31.29</v>
      </c>
      <c r="I148" s="61">
        <v>93.2</v>
      </c>
      <c r="J148" s="38">
        <v>3808</v>
      </c>
      <c r="K148" s="55"/>
      <c r="L148" s="135">
        <f t="shared" si="28"/>
        <v>290.30408074701938</v>
      </c>
      <c r="M148" s="39">
        <f t="shared" si="29"/>
        <v>12698.82712069909</v>
      </c>
      <c r="N148" s="63">
        <f t="shared" si="30"/>
        <v>320.61219999999997</v>
      </c>
      <c r="O148" s="63">
        <f t="shared" si="31"/>
        <v>306.67667496488303</v>
      </c>
      <c r="P148" s="266">
        <f t="shared" si="32"/>
        <v>13.935525035116939</v>
      </c>
      <c r="Q148" s="189">
        <f t="shared" si="33"/>
        <v>0.9565346389341487</v>
      </c>
      <c r="R148" s="106">
        <f t="shared" si="34"/>
        <v>3.3608349900596424</v>
      </c>
      <c r="S148" s="16"/>
      <c r="T148" s="16"/>
      <c r="U148" s="16"/>
      <c r="V148" s="16"/>
      <c r="W148" s="16"/>
      <c r="X148" s="16"/>
      <c r="Y148" s="16"/>
      <c r="Z148" s="16"/>
      <c r="AA148" s="16"/>
      <c r="AB148" s="16"/>
      <c r="AC148" s="16"/>
      <c r="AD148" s="16"/>
      <c r="AE148" s="16"/>
      <c r="AF148" s="16"/>
      <c r="AG148" s="16"/>
      <c r="AH148" s="16"/>
      <c r="AI148" s="16"/>
      <c r="AJ148" s="63">
        <v>200.27509000000001</v>
      </c>
      <c r="AK148" s="16"/>
      <c r="AL148" s="16"/>
      <c r="AM148" s="16"/>
      <c r="AN148" s="16"/>
      <c r="AO148" s="16"/>
      <c r="AP148" s="16"/>
      <c r="AQ148" s="16"/>
      <c r="AR148" s="267">
        <v>0.93502497952882191</v>
      </c>
      <c r="AS148" s="16"/>
      <c r="AT148" s="16"/>
      <c r="AU148" s="16"/>
      <c r="AV148" s="16"/>
      <c r="AW148" s="16"/>
      <c r="AX148" s="16"/>
      <c r="AY148" s="16"/>
      <c r="AZ148" s="16"/>
      <c r="BA148" s="16"/>
      <c r="BB148" s="16"/>
      <c r="BC148" s="16"/>
      <c r="BD148" s="16"/>
      <c r="BE148" s="16"/>
      <c r="BF148" s="16"/>
      <c r="BG148" s="16"/>
      <c r="BH148" s="16"/>
      <c r="BI148" s="16"/>
      <c r="BJ148" s="16"/>
      <c r="BK148" s="16"/>
    </row>
    <row r="149" spans="1:63">
      <c r="A149" s="18">
        <v>2593</v>
      </c>
      <c r="B149" s="38">
        <v>85</v>
      </c>
      <c r="C149" s="61">
        <v>24.1</v>
      </c>
      <c r="D149" s="38" t="s">
        <v>481</v>
      </c>
      <c r="E149" s="38">
        <v>201.2</v>
      </c>
      <c r="F149" s="38">
        <v>1618.2</v>
      </c>
      <c r="G149" s="38">
        <v>24.15</v>
      </c>
      <c r="H149" s="38">
        <v>31.78</v>
      </c>
      <c r="I149" s="61">
        <v>93.1</v>
      </c>
      <c r="J149" s="38">
        <v>2841</v>
      </c>
      <c r="K149" s="55"/>
      <c r="L149" s="135">
        <f t="shared" si="28"/>
        <v>216.81716727600636</v>
      </c>
      <c r="M149" s="39">
        <f t="shared" si="29"/>
        <v>12897.205669827323</v>
      </c>
      <c r="N149" s="63">
        <f t="shared" si="30"/>
        <v>325.58183999999994</v>
      </c>
      <c r="O149" s="63">
        <f t="shared" si="31"/>
        <v>311.46751692632984</v>
      </c>
      <c r="P149" s="222">
        <f t="shared" si="32"/>
        <v>14.114323073670107</v>
      </c>
      <c r="Q149" s="187">
        <f t="shared" si="33"/>
        <v>0.95664892405033986</v>
      </c>
      <c r="R149" s="106">
        <f t="shared" si="34"/>
        <v>3.3608349900596424</v>
      </c>
      <c r="S149" s="16"/>
      <c r="T149" s="16"/>
      <c r="U149" s="16"/>
      <c r="V149" s="16"/>
      <c r="W149" s="16"/>
      <c r="X149" s="16"/>
      <c r="Y149" s="16"/>
      <c r="Z149" s="16"/>
      <c r="AA149" s="16"/>
      <c r="AB149" s="16"/>
      <c r="AC149" s="16"/>
      <c r="AD149" s="16"/>
      <c r="AE149" s="16"/>
      <c r="AF149" s="16"/>
      <c r="AG149" s="16"/>
      <c r="AH149" s="16"/>
      <c r="AI149" s="16"/>
      <c r="AJ149" s="63">
        <v>232.75253000000001</v>
      </c>
      <c r="AK149" s="16"/>
      <c r="AL149" s="16"/>
      <c r="AM149" s="16"/>
      <c r="AN149" s="16"/>
      <c r="AO149" s="16"/>
      <c r="AP149" s="16"/>
      <c r="AQ149" s="16"/>
      <c r="AR149" s="268">
        <v>0.94109331677714458</v>
      </c>
      <c r="AS149" s="16"/>
      <c r="AT149" s="16"/>
      <c r="AU149" s="16"/>
      <c r="AV149" s="16"/>
      <c r="AW149" s="16"/>
      <c r="AX149" s="16"/>
      <c r="AY149" s="16"/>
      <c r="AZ149" s="16"/>
      <c r="BA149" s="16"/>
      <c r="BB149" s="16"/>
      <c r="BC149" s="16"/>
      <c r="BD149" s="16"/>
      <c r="BE149" s="16"/>
      <c r="BF149" s="16"/>
      <c r="BG149" s="16"/>
      <c r="BH149" s="16"/>
      <c r="BI149" s="16"/>
      <c r="BJ149" s="16"/>
      <c r="BK149" s="16"/>
    </row>
    <row r="150" spans="1:63">
      <c r="A150" s="16" t="s">
        <v>561</v>
      </c>
      <c r="B150" s="38">
        <v>85</v>
      </c>
      <c r="C150" s="61">
        <v>24.1</v>
      </c>
      <c r="D150" s="38" t="s">
        <v>481</v>
      </c>
      <c r="E150" s="38">
        <v>201.93</v>
      </c>
      <c r="F150" s="38">
        <v>759.3</v>
      </c>
      <c r="G150" s="38">
        <v>24.15</v>
      </c>
      <c r="H150" s="38">
        <v>14.58</v>
      </c>
      <c r="I150" s="61">
        <v>95.5</v>
      </c>
      <c r="J150" s="38">
        <v>3396</v>
      </c>
      <c r="K150" s="55"/>
      <c r="L150" s="135">
        <f t="shared" si="28"/>
        <v>252.65996014401483</v>
      </c>
      <c r="M150" s="39">
        <f t="shared" si="29"/>
        <v>5926.3945823623826</v>
      </c>
      <c r="N150" s="63">
        <f t="shared" si="30"/>
        <v>153.32544899999999</v>
      </c>
      <c r="O150" s="63">
        <f t="shared" si="31"/>
        <v>143.12242916405154</v>
      </c>
      <c r="P150" s="200">
        <f t="shared" si="32"/>
        <v>10.203019835948453</v>
      </c>
      <c r="Q150" s="269">
        <f t="shared" si="33"/>
        <v>0.93345514457975953</v>
      </c>
      <c r="R150" s="106">
        <f t="shared" si="34"/>
        <v>3.3486851879364137</v>
      </c>
      <c r="S150" s="16"/>
      <c r="T150" s="16"/>
      <c r="U150" s="16"/>
      <c r="V150" s="16"/>
      <c r="W150" s="16"/>
      <c r="X150" s="16"/>
      <c r="Y150" s="16"/>
      <c r="Z150" s="16"/>
      <c r="AA150" s="16"/>
      <c r="AB150" s="16"/>
      <c r="AC150" s="16"/>
      <c r="AD150" s="16"/>
      <c r="AE150" s="16"/>
      <c r="AF150" s="16"/>
      <c r="AG150" s="16"/>
      <c r="AH150" s="16"/>
      <c r="AI150" s="16"/>
      <c r="AJ150" s="63">
        <v>319.49561999999992</v>
      </c>
      <c r="AK150" s="16"/>
      <c r="AL150" s="16"/>
      <c r="AM150" s="16"/>
      <c r="AN150" s="16"/>
      <c r="AO150" s="16"/>
      <c r="AP150" s="16"/>
      <c r="AQ150" s="16"/>
      <c r="AR150" s="270">
        <v>0.95196076859259304</v>
      </c>
      <c r="AS150" s="16"/>
      <c r="AT150" s="16"/>
      <c r="AU150" s="16"/>
      <c r="AV150" s="16"/>
      <c r="AW150" s="16"/>
      <c r="AX150" s="16"/>
      <c r="AY150" s="16"/>
      <c r="AZ150" s="16"/>
      <c r="BA150" s="16"/>
      <c r="BB150" s="16"/>
      <c r="BC150" s="16"/>
      <c r="BD150" s="16"/>
      <c r="BE150" s="16"/>
      <c r="BF150" s="16"/>
      <c r="BG150" s="16"/>
      <c r="BH150" s="16"/>
      <c r="BI150" s="16"/>
      <c r="BJ150" s="16"/>
      <c r="BK150" s="16"/>
    </row>
    <row r="151" spans="1:63">
      <c r="A151" s="139" t="s">
        <v>562</v>
      </c>
      <c r="B151" s="140">
        <v>85</v>
      </c>
      <c r="C151" s="107">
        <v>24.1</v>
      </c>
      <c r="D151" s="140" t="s">
        <v>481</v>
      </c>
      <c r="E151" s="140">
        <v>203.13</v>
      </c>
      <c r="F151" s="140">
        <v>44.25</v>
      </c>
      <c r="G151" s="140">
        <v>24.15</v>
      </c>
      <c r="H151" s="140">
        <v>0.12</v>
      </c>
      <c r="I151" s="107">
        <v>96.52</v>
      </c>
      <c r="J151" s="140">
        <v>2802</v>
      </c>
      <c r="K151" s="184"/>
      <c r="L151" s="141">
        <f t="shared" si="28"/>
        <v>206.26376035291111</v>
      </c>
      <c r="M151" s="142">
        <f t="shared" si="29"/>
        <v>54.391605480195835</v>
      </c>
      <c r="N151" s="110">
        <f t="shared" si="30"/>
        <v>8.9885025000000009</v>
      </c>
      <c r="O151" s="110">
        <f t="shared" si="31"/>
        <v>1.3135572723467295</v>
      </c>
      <c r="P151" s="271">
        <f t="shared" si="32"/>
        <v>7.6749452276532715</v>
      </c>
      <c r="Q151" s="144">
        <f t="shared" si="33"/>
        <v>0.14613749869310594</v>
      </c>
      <c r="R151" s="113">
        <f t="shared" si="34"/>
        <v>3.3289026731649685</v>
      </c>
      <c r="S151" s="139"/>
      <c r="T151" s="139"/>
      <c r="U151" s="139"/>
      <c r="V151" s="139"/>
      <c r="W151" s="139"/>
      <c r="X151" s="139"/>
      <c r="Y151" s="139"/>
      <c r="Z151" s="139"/>
      <c r="AA151" s="139"/>
      <c r="AB151" s="139"/>
      <c r="AC151" s="139"/>
      <c r="AD151" s="139"/>
      <c r="AE151" s="139"/>
      <c r="AF151" s="139"/>
      <c r="AG151" s="91" t="s">
        <v>463</v>
      </c>
      <c r="AH151" s="92" t="s">
        <v>465</v>
      </c>
      <c r="AI151" s="16"/>
      <c r="AJ151" s="63">
        <v>426.70409999999998</v>
      </c>
      <c r="AK151" s="16"/>
      <c r="AL151" s="16"/>
      <c r="AM151" s="16"/>
      <c r="AN151" s="16"/>
      <c r="AO151" s="16"/>
      <c r="AP151" s="16"/>
      <c r="AQ151" s="16"/>
      <c r="AR151" s="272">
        <v>0.95978622210874953</v>
      </c>
      <c r="AS151" s="16"/>
      <c r="AT151" s="16"/>
      <c r="AU151" s="16"/>
      <c r="AV151" s="16"/>
      <c r="AW151" s="16"/>
      <c r="AX151" s="16"/>
      <c r="AY151" s="16"/>
      <c r="AZ151" s="16"/>
      <c r="BA151" s="16"/>
      <c r="BB151" s="16"/>
      <c r="BC151" s="16"/>
      <c r="BD151" s="16"/>
      <c r="BE151" s="16"/>
      <c r="BF151" s="16"/>
      <c r="BG151" s="16"/>
      <c r="BH151" s="16"/>
      <c r="BI151" s="16"/>
      <c r="BJ151" s="16"/>
      <c r="BK151" s="16"/>
    </row>
    <row r="152" spans="1:63">
      <c r="A152" s="18">
        <v>870</v>
      </c>
      <c r="B152" s="38">
        <v>85</v>
      </c>
      <c r="C152" s="61">
        <v>24.1</v>
      </c>
      <c r="D152" s="38" t="s">
        <v>481</v>
      </c>
      <c r="E152" s="38">
        <v>300.89999999999998</v>
      </c>
      <c r="F152" s="38">
        <v>30.1</v>
      </c>
      <c r="G152" s="38">
        <v>24.15</v>
      </c>
      <c r="H152" s="38">
        <v>0.12</v>
      </c>
      <c r="I152" s="61">
        <v>107.88</v>
      </c>
      <c r="J152" s="38">
        <v>2620</v>
      </c>
      <c r="K152" s="55"/>
      <c r="L152" s="135">
        <f t="shared" si="28"/>
        <v>172.55695436263747</v>
      </c>
      <c r="M152" s="39">
        <f t="shared" si="29"/>
        <v>54.391605480195835</v>
      </c>
      <c r="N152" s="63">
        <f t="shared" si="30"/>
        <v>9.0570900000000005</v>
      </c>
      <c r="O152" s="63">
        <f t="shared" si="31"/>
        <v>1.3135572723467295</v>
      </c>
      <c r="P152" s="273">
        <f t="shared" si="32"/>
        <v>7.7435327276532711</v>
      </c>
      <c r="Q152" s="114">
        <f t="shared" si="33"/>
        <v>0.14503082914564494</v>
      </c>
      <c r="R152" s="106">
        <f t="shared" si="34"/>
        <v>2.2472582253240279</v>
      </c>
      <c r="S152" s="16"/>
      <c r="T152" s="16"/>
      <c r="U152" s="16"/>
      <c r="V152" s="16"/>
      <c r="W152" s="16"/>
      <c r="X152" s="16"/>
      <c r="Y152" s="16"/>
      <c r="Z152" s="16"/>
      <c r="AA152" s="16"/>
      <c r="AB152" s="16"/>
      <c r="AC152" s="16"/>
      <c r="AD152" s="16"/>
      <c r="AE152" s="16"/>
      <c r="AF152" s="16"/>
      <c r="AG152" s="63">
        <v>9.0570900000000005</v>
      </c>
      <c r="AH152" s="273">
        <v>7.7435327276532711</v>
      </c>
      <c r="AI152" s="16"/>
      <c r="AJ152" s="63">
        <v>478.57376500000009</v>
      </c>
      <c r="AK152" s="16"/>
      <c r="AL152" s="16"/>
      <c r="AM152" s="16"/>
      <c r="AN152" s="16"/>
      <c r="AO152" s="16"/>
      <c r="AP152" s="16"/>
      <c r="AQ152" s="16"/>
      <c r="AR152" s="274">
        <v>0.96230284844434621</v>
      </c>
      <c r="AS152" s="16"/>
      <c r="AT152" s="16"/>
      <c r="AU152" s="16"/>
      <c r="AV152" s="16"/>
      <c r="AW152" s="16"/>
      <c r="AX152" s="16"/>
      <c r="AY152" s="16"/>
      <c r="AZ152" s="16"/>
      <c r="BA152" s="16"/>
      <c r="BB152" s="16"/>
      <c r="BC152" s="16"/>
      <c r="BD152" s="16"/>
      <c r="BE152" s="16"/>
      <c r="BF152" s="16"/>
      <c r="BG152" s="16"/>
      <c r="BH152" s="16"/>
      <c r="BI152" s="16"/>
      <c r="BJ152" s="16"/>
      <c r="BK152" s="16"/>
    </row>
    <row r="153" spans="1:63">
      <c r="A153" s="18">
        <v>993</v>
      </c>
      <c r="B153" s="38">
        <v>85</v>
      </c>
      <c r="C153" s="61">
        <v>24.1</v>
      </c>
      <c r="D153" s="38" t="s">
        <v>481</v>
      </c>
      <c r="E153" s="38">
        <v>301</v>
      </c>
      <c r="F153" s="38">
        <v>34.6</v>
      </c>
      <c r="G153" s="38">
        <v>24.15</v>
      </c>
      <c r="H153" s="38">
        <v>0.24</v>
      </c>
      <c r="I153" s="61">
        <v>107.7</v>
      </c>
      <c r="J153" s="38">
        <v>2641</v>
      </c>
      <c r="K153" s="55"/>
      <c r="L153" s="135">
        <f t="shared" si="28"/>
        <v>174.23075205004625</v>
      </c>
      <c r="M153" s="39">
        <f t="shared" si="29"/>
        <v>103.16574208414421</v>
      </c>
      <c r="N153" s="63">
        <f t="shared" si="30"/>
        <v>10.4146</v>
      </c>
      <c r="O153" s="63">
        <f t="shared" si="31"/>
        <v>2.4914526713320826</v>
      </c>
      <c r="P153" s="162">
        <f t="shared" si="32"/>
        <v>7.9231473286679179</v>
      </c>
      <c r="Q153" s="114">
        <f t="shared" si="33"/>
        <v>0.23922691906862315</v>
      </c>
      <c r="R153" s="106">
        <f t="shared" si="34"/>
        <v>2.2465116279069766</v>
      </c>
      <c r="S153" s="16"/>
      <c r="T153" s="16"/>
      <c r="U153" s="16"/>
      <c r="V153" s="16"/>
      <c r="W153" s="16"/>
      <c r="X153" s="16"/>
      <c r="Y153" s="16"/>
      <c r="Z153" s="16"/>
      <c r="AA153" s="16"/>
      <c r="AB153" s="16"/>
      <c r="AC153" s="16"/>
      <c r="AD153" s="16"/>
      <c r="AE153" s="16"/>
      <c r="AF153" s="16"/>
      <c r="AG153" s="63">
        <v>10.4146</v>
      </c>
      <c r="AH153" s="162">
        <v>7.9231473286679179</v>
      </c>
      <c r="AI153" s="16"/>
      <c r="AJ153" s="63">
        <v>529.92568999999992</v>
      </c>
      <c r="AK153" s="16"/>
      <c r="AL153" s="16"/>
      <c r="AM153" s="16"/>
      <c r="AN153" s="16"/>
      <c r="AO153" s="16"/>
      <c r="AP153" s="16"/>
      <c r="AQ153" s="16"/>
      <c r="AR153" s="215">
        <v>0.96410329123137606</v>
      </c>
      <c r="AS153" s="16"/>
      <c r="AT153" s="16"/>
      <c r="AU153" s="16"/>
      <c r="AV153" s="16"/>
      <c r="AW153" s="16"/>
      <c r="AX153" s="16"/>
      <c r="AY153" s="16"/>
      <c r="AZ153" s="16"/>
      <c r="BA153" s="16"/>
      <c r="BB153" s="16"/>
      <c r="BC153" s="16"/>
      <c r="BD153" s="16"/>
      <c r="BE153" s="16"/>
      <c r="BF153" s="16"/>
      <c r="BG153" s="16"/>
      <c r="BH153" s="16"/>
      <c r="BI153" s="16"/>
      <c r="BJ153" s="16"/>
      <c r="BK153" s="16"/>
    </row>
    <row r="154" spans="1:63">
      <c r="A154" s="18">
        <v>1277</v>
      </c>
      <c r="B154" s="38">
        <v>85</v>
      </c>
      <c r="C154" s="61">
        <v>24.1</v>
      </c>
      <c r="D154" s="38" t="s">
        <v>481</v>
      </c>
      <c r="E154" s="38">
        <v>301</v>
      </c>
      <c r="F154" s="38">
        <v>53</v>
      </c>
      <c r="G154" s="38">
        <v>24.15</v>
      </c>
      <c r="H154" s="38">
        <v>0.78</v>
      </c>
      <c r="I154" s="61">
        <v>107.4</v>
      </c>
      <c r="J154" s="38">
        <v>2694</v>
      </c>
      <c r="K154" s="55"/>
      <c r="L154" s="135">
        <f t="shared" si="28"/>
        <v>178.22368677239874</v>
      </c>
      <c r="M154" s="39">
        <f t="shared" si="29"/>
        <v>322.64028081265053</v>
      </c>
      <c r="N154" s="63">
        <f t="shared" si="30"/>
        <v>15.952999999999999</v>
      </c>
      <c r="O154" s="63">
        <f t="shared" si="31"/>
        <v>7.7917627816255095</v>
      </c>
      <c r="P154" s="163">
        <f t="shared" si="32"/>
        <v>8.1612372183744899</v>
      </c>
      <c r="Q154" s="114">
        <f t="shared" si="33"/>
        <v>0.4884199073293744</v>
      </c>
      <c r="R154" s="106">
        <f t="shared" si="34"/>
        <v>2.2465116279069766</v>
      </c>
      <c r="S154" s="16"/>
      <c r="T154" s="16"/>
      <c r="U154" s="16"/>
      <c r="V154" s="16"/>
      <c r="W154" s="16"/>
      <c r="X154" s="16"/>
      <c r="Y154" s="16"/>
      <c r="Z154" s="16"/>
      <c r="AA154" s="16"/>
      <c r="AB154" s="16"/>
      <c r="AC154" s="16"/>
      <c r="AD154" s="16"/>
      <c r="AE154" s="16"/>
      <c r="AF154" s="16"/>
      <c r="AG154" s="63">
        <v>15.952999999999999</v>
      </c>
      <c r="AH154" s="163">
        <v>8.1612372183744899</v>
      </c>
      <c r="AI154" s="16"/>
      <c r="AJ154" s="63">
        <v>580.38662499999998</v>
      </c>
      <c r="AK154" s="16"/>
      <c r="AL154" s="16"/>
      <c r="AM154" s="16"/>
      <c r="AN154" s="16"/>
      <c r="AO154" s="16"/>
      <c r="AP154" s="16"/>
      <c r="AQ154" s="16"/>
      <c r="AR154" s="275">
        <v>0.96550204361209946</v>
      </c>
      <c r="AS154" s="16"/>
      <c r="AT154" s="16"/>
      <c r="AU154" s="16"/>
      <c r="AV154" s="16"/>
      <c r="AW154" s="16"/>
      <c r="AX154" s="16"/>
      <c r="AY154" s="16"/>
      <c r="AZ154" s="16"/>
      <c r="BA154" s="16"/>
      <c r="BB154" s="16"/>
      <c r="BC154" s="16"/>
      <c r="BD154" s="16"/>
      <c r="BE154" s="16"/>
      <c r="BF154" s="16"/>
      <c r="BG154" s="16"/>
      <c r="BH154" s="16"/>
      <c r="BI154" s="16"/>
      <c r="BJ154" s="16"/>
      <c r="BK154" s="16"/>
    </row>
    <row r="155" spans="1:63">
      <c r="A155" s="18">
        <v>1510</v>
      </c>
      <c r="B155" s="38">
        <v>85</v>
      </c>
      <c r="C155" s="61">
        <v>24.1</v>
      </c>
      <c r="D155" s="38" t="s">
        <v>481</v>
      </c>
      <c r="E155" s="38">
        <v>301</v>
      </c>
      <c r="F155" s="38">
        <v>76.2</v>
      </c>
      <c r="G155" s="38">
        <v>24.15</v>
      </c>
      <c r="H155" s="38">
        <v>1.48</v>
      </c>
      <c r="I155" s="61">
        <v>107.1</v>
      </c>
      <c r="J155" s="38">
        <v>2718</v>
      </c>
      <c r="K155" s="55"/>
      <c r="L155" s="135">
        <f t="shared" si="28"/>
        <v>180.31509909120797</v>
      </c>
      <c r="M155" s="39">
        <f t="shared" si="29"/>
        <v>607.12220823658708</v>
      </c>
      <c r="N155" s="63">
        <f t="shared" si="30"/>
        <v>22.936199999999999</v>
      </c>
      <c r="O155" s="63">
        <f t="shared" si="31"/>
        <v>14.662001328913577</v>
      </c>
      <c r="P155" s="166">
        <f t="shared" si="32"/>
        <v>8.2741986710864222</v>
      </c>
      <c r="Q155" s="114">
        <f t="shared" si="33"/>
        <v>0.63925154685229368</v>
      </c>
      <c r="R155" s="106">
        <f t="shared" si="34"/>
        <v>2.2465116279069766</v>
      </c>
      <c r="S155" s="16"/>
      <c r="T155" s="16"/>
      <c r="U155" s="16"/>
      <c r="V155" s="16"/>
      <c r="W155" s="16"/>
      <c r="X155" s="16"/>
      <c r="Y155" s="16"/>
      <c r="Z155" s="16"/>
      <c r="AA155" s="16"/>
      <c r="AB155" s="16"/>
      <c r="AC155" s="16"/>
      <c r="AD155" s="16"/>
      <c r="AE155" s="16"/>
      <c r="AF155" s="16"/>
      <c r="AG155" s="63">
        <v>22.936199999999999</v>
      </c>
      <c r="AH155" s="166">
        <v>8.2741986710864222</v>
      </c>
      <c r="AI155" s="16"/>
      <c r="AJ155" s="63">
        <v>634.40094000000011</v>
      </c>
      <c r="AK155" s="16"/>
      <c r="AL155" s="16"/>
      <c r="AM155" s="16"/>
      <c r="AN155" s="16"/>
      <c r="AO155" s="16"/>
      <c r="AP155" s="16"/>
      <c r="AQ155" s="16"/>
      <c r="AR155" s="276">
        <v>0.96728640342501071</v>
      </c>
      <c r="AS155" s="16"/>
      <c r="AT155" s="16"/>
      <c r="AU155" s="16"/>
      <c r="AV155" s="16"/>
      <c r="AW155" s="16"/>
      <c r="AX155" s="16"/>
      <c r="AY155" s="16"/>
      <c r="AZ155" s="16"/>
      <c r="BA155" s="16"/>
      <c r="BB155" s="16"/>
      <c r="BC155" s="16"/>
      <c r="BD155" s="16"/>
      <c r="BE155" s="16"/>
      <c r="BF155" s="16"/>
      <c r="BG155" s="16"/>
      <c r="BH155" s="16"/>
      <c r="BI155" s="16"/>
      <c r="BJ155" s="16"/>
      <c r="BK155" s="16"/>
    </row>
    <row r="156" spans="1:63">
      <c r="A156" s="18">
        <v>1776</v>
      </c>
      <c r="B156" s="38">
        <v>85</v>
      </c>
      <c r="C156" s="61">
        <v>24.1</v>
      </c>
      <c r="D156" s="38" t="s">
        <v>481</v>
      </c>
      <c r="E156" s="38">
        <v>301</v>
      </c>
      <c r="F156" s="38">
        <v>122.3</v>
      </c>
      <c r="G156" s="38">
        <v>24.15</v>
      </c>
      <c r="H156" s="38">
        <v>2.86</v>
      </c>
      <c r="I156" s="61">
        <v>106.8</v>
      </c>
      <c r="J156" s="38">
        <v>2817</v>
      </c>
      <c r="K156" s="55"/>
      <c r="L156" s="135">
        <f t="shared" si="28"/>
        <v>187.40781947643677</v>
      </c>
      <c r="M156" s="39">
        <f t="shared" si="29"/>
        <v>1167.884911158932</v>
      </c>
      <c r="N156" s="63">
        <f t="shared" si="30"/>
        <v>36.812299999999993</v>
      </c>
      <c r="O156" s="63">
        <f t="shared" si="31"/>
        <v>28.20442060448821</v>
      </c>
      <c r="P156" s="277">
        <f t="shared" si="32"/>
        <v>8.6078793955117838</v>
      </c>
      <c r="Q156" s="114">
        <f t="shared" si="33"/>
        <v>0.76616838949177901</v>
      </c>
      <c r="R156" s="106">
        <f t="shared" si="34"/>
        <v>2.2465116279069766</v>
      </c>
      <c r="S156" s="16"/>
      <c r="T156" s="16"/>
      <c r="U156" s="16"/>
      <c r="V156" s="16"/>
      <c r="W156" s="16"/>
      <c r="X156" s="16"/>
      <c r="Y156" s="16"/>
      <c r="Z156" s="16"/>
      <c r="AA156" s="16"/>
      <c r="AB156" s="16"/>
      <c r="AC156" s="16"/>
      <c r="AD156" s="16"/>
      <c r="AE156" s="16"/>
      <c r="AF156" s="16"/>
      <c r="AG156" s="63">
        <v>36.812299999999993</v>
      </c>
      <c r="AH156" s="277">
        <v>8.6078793955117838</v>
      </c>
      <c r="AI156" s="16"/>
      <c r="AJ156" s="63">
        <v>679.73099999999999</v>
      </c>
      <c r="AK156" s="16"/>
      <c r="AL156" s="16"/>
      <c r="AM156" s="16"/>
      <c r="AN156" s="16"/>
      <c r="AO156" s="16"/>
      <c r="AP156" s="16"/>
      <c r="AQ156" s="16"/>
      <c r="AR156" s="249">
        <v>0.96698093581787015</v>
      </c>
      <c r="AS156" s="16"/>
      <c r="AT156" s="16"/>
      <c r="AU156" s="16"/>
      <c r="AV156" s="16"/>
      <c r="AW156" s="16"/>
      <c r="AX156" s="16"/>
      <c r="AY156" s="16"/>
      <c r="AZ156" s="16"/>
      <c r="BA156" s="16"/>
      <c r="BB156" s="16"/>
      <c r="BC156" s="16"/>
      <c r="BD156" s="16"/>
      <c r="BE156" s="16"/>
      <c r="BF156" s="16"/>
      <c r="BG156" s="16"/>
      <c r="BH156" s="16"/>
      <c r="BI156" s="16"/>
      <c r="BJ156" s="16"/>
      <c r="BK156" s="16"/>
    </row>
    <row r="157" spans="1:63">
      <c r="A157" s="18">
        <v>1964</v>
      </c>
      <c r="B157" s="38">
        <v>85</v>
      </c>
      <c r="C157" s="61">
        <v>24.1</v>
      </c>
      <c r="D157" s="38" t="s">
        <v>481</v>
      </c>
      <c r="E157" s="38">
        <v>301</v>
      </c>
      <c r="F157" s="38">
        <v>169</v>
      </c>
      <c r="G157" s="38">
        <v>24.15</v>
      </c>
      <c r="H157" s="38">
        <v>4.2699999999999996</v>
      </c>
      <c r="I157" s="61">
        <v>106.66</v>
      </c>
      <c r="J157" s="38">
        <v>2878</v>
      </c>
      <c r="K157" s="55"/>
      <c r="L157" s="135">
        <f t="shared" si="28"/>
        <v>191.71730859509975</v>
      </c>
      <c r="M157" s="39">
        <f t="shared" si="29"/>
        <v>1740.7379279537197</v>
      </c>
      <c r="N157" s="63">
        <f t="shared" si="30"/>
        <v>50.869</v>
      </c>
      <c r="O157" s="63">
        <f t="shared" si="31"/>
        <v>42.038820960082326</v>
      </c>
      <c r="P157" s="167">
        <f t="shared" si="32"/>
        <v>8.8301790399176738</v>
      </c>
      <c r="Q157" s="114">
        <f t="shared" si="33"/>
        <v>0.82641335509017921</v>
      </c>
      <c r="R157" s="106">
        <f t="shared" si="34"/>
        <v>2.2465116279069766</v>
      </c>
      <c r="S157" s="16"/>
      <c r="T157" s="16"/>
      <c r="U157" s="16"/>
      <c r="V157" s="16"/>
      <c r="W157" s="16"/>
      <c r="X157" s="16"/>
      <c r="Y157" s="16"/>
      <c r="Z157" s="16"/>
      <c r="AA157" s="16"/>
      <c r="AB157" s="16"/>
      <c r="AC157" s="16"/>
      <c r="AD157" s="16"/>
      <c r="AE157" s="16"/>
      <c r="AF157" s="16"/>
      <c r="AG157" s="63">
        <v>50.869</v>
      </c>
      <c r="AH157" s="167">
        <v>8.8301790399176738</v>
      </c>
      <c r="AI157" s="16"/>
      <c r="AJ157" s="63">
        <v>722.4620900000001</v>
      </c>
      <c r="AK157" s="16"/>
      <c r="AL157" s="16"/>
      <c r="AM157" s="16"/>
      <c r="AN157" s="16"/>
      <c r="AO157" s="16"/>
      <c r="AP157" s="16"/>
      <c r="AQ157" s="16"/>
      <c r="AR157" s="257">
        <v>0.96784323068721279</v>
      </c>
      <c r="AS157" s="16"/>
      <c r="AT157" s="16"/>
      <c r="AU157" s="16"/>
      <c r="AV157" s="16"/>
      <c r="AW157" s="16"/>
      <c r="AX157" s="16"/>
      <c r="AY157" s="16"/>
      <c r="AZ157" s="16"/>
      <c r="BA157" s="16"/>
      <c r="BB157" s="16"/>
      <c r="BC157" s="16"/>
      <c r="BD157" s="16"/>
      <c r="BE157" s="16"/>
      <c r="BF157" s="16"/>
      <c r="BG157" s="16"/>
      <c r="BH157" s="16"/>
      <c r="BI157" s="16"/>
      <c r="BJ157" s="16"/>
      <c r="BK157" s="16"/>
    </row>
    <row r="158" spans="1:63">
      <c r="A158" s="18">
        <v>2225</v>
      </c>
      <c r="B158" s="38">
        <v>85</v>
      </c>
      <c r="C158" s="61">
        <v>24.1</v>
      </c>
      <c r="D158" s="38" t="s">
        <v>481</v>
      </c>
      <c r="E158" s="38">
        <v>300.89999999999998</v>
      </c>
      <c r="F158" s="38">
        <v>265.10000000000002</v>
      </c>
      <c r="G158" s="38">
        <v>24.15</v>
      </c>
      <c r="H158" s="38">
        <v>7.16</v>
      </c>
      <c r="I158" s="61">
        <v>106.47</v>
      </c>
      <c r="J158" s="38">
        <v>2982</v>
      </c>
      <c r="K158" s="55"/>
      <c r="L158" s="135">
        <f t="shared" si="28"/>
        <v>198.99973512828558</v>
      </c>
      <c r="M158" s="39">
        <f t="shared" si="29"/>
        <v>2914.5670102809468</v>
      </c>
      <c r="N158" s="63">
        <f t="shared" si="30"/>
        <v>79.768590000000003</v>
      </c>
      <c r="O158" s="63">
        <f t="shared" si="31"/>
        <v>70.386793298284857</v>
      </c>
      <c r="P158" s="145">
        <f t="shared" si="32"/>
        <v>9.381796701715146</v>
      </c>
      <c r="Q158" s="114">
        <f t="shared" si="33"/>
        <v>0.88238733188445295</v>
      </c>
      <c r="R158" s="106">
        <f t="shared" si="34"/>
        <v>2.2472582253240279</v>
      </c>
      <c r="S158" s="16"/>
      <c r="T158" s="16"/>
      <c r="U158" s="16"/>
      <c r="V158" s="16"/>
      <c r="W158" s="16"/>
      <c r="X158" s="16"/>
      <c r="Y158" s="16"/>
      <c r="Z158" s="16"/>
      <c r="AA158" s="16"/>
      <c r="AB158" s="16"/>
      <c r="AC158" s="16"/>
      <c r="AD158" s="16"/>
      <c r="AE158" s="16"/>
      <c r="AF158" s="16"/>
      <c r="AG158" s="63">
        <v>79.768590000000003</v>
      </c>
      <c r="AH158" s="145">
        <v>9.381796701715146</v>
      </c>
      <c r="AI158" s="16"/>
      <c r="AJ158" s="63">
        <v>778.75695999999994</v>
      </c>
      <c r="AK158" s="16"/>
      <c r="AL158" s="16"/>
      <c r="AM158" s="16"/>
      <c r="AN158" s="16"/>
      <c r="AO158" s="16"/>
      <c r="AP158" s="16"/>
      <c r="AQ158" s="16"/>
      <c r="AR158" s="259">
        <v>0.96837377819733106</v>
      </c>
      <c r="AS158" s="16"/>
      <c r="AT158" s="16"/>
      <c r="AU158" s="16"/>
      <c r="AV158" s="16"/>
      <c r="AW158" s="16"/>
      <c r="AX158" s="16"/>
      <c r="AY158" s="16"/>
      <c r="AZ158" s="16"/>
      <c r="BA158" s="16"/>
      <c r="BB158" s="16"/>
      <c r="BC158" s="16"/>
      <c r="BD158" s="16"/>
      <c r="BE158" s="16"/>
      <c r="BF158" s="16"/>
      <c r="BG158" s="16"/>
      <c r="BH158" s="16"/>
      <c r="BI158" s="16"/>
      <c r="BJ158" s="16"/>
      <c r="BK158" s="16"/>
    </row>
    <row r="159" spans="1:63">
      <c r="A159" s="18">
        <v>2496</v>
      </c>
      <c r="B159" s="38">
        <v>85</v>
      </c>
      <c r="C159" s="61">
        <v>24.1</v>
      </c>
      <c r="D159" s="38" t="s">
        <v>481</v>
      </c>
      <c r="E159" s="38">
        <v>300.8</v>
      </c>
      <c r="F159" s="38">
        <v>415.1</v>
      </c>
      <c r="G159" s="38">
        <v>24.14</v>
      </c>
      <c r="H159" s="38">
        <v>11.69</v>
      </c>
      <c r="I159" s="61">
        <v>106.3</v>
      </c>
      <c r="J159" s="38">
        <v>3121</v>
      </c>
      <c r="K159" s="55"/>
      <c r="L159" s="135">
        <f t="shared" si="28"/>
        <v>208.60879644444856</v>
      </c>
      <c r="M159" s="39">
        <f t="shared" si="29"/>
        <v>4753.6576644488641</v>
      </c>
      <c r="N159" s="63">
        <f t="shared" si="30"/>
        <v>124.86208000000002</v>
      </c>
      <c r="O159" s="63">
        <f t="shared" si="31"/>
        <v>114.75329601979558</v>
      </c>
      <c r="P159" s="278">
        <f t="shared" si="32"/>
        <v>10.108783980204436</v>
      </c>
      <c r="Q159" s="173">
        <f t="shared" si="33"/>
        <v>0.91904040057474268</v>
      </c>
      <c r="R159" s="106">
        <f t="shared" si="34"/>
        <v>2.2470744680851062</v>
      </c>
      <c r="S159" s="16"/>
      <c r="T159" s="16"/>
      <c r="U159" s="16"/>
      <c r="V159" s="16"/>
      <c r="W159" s="16"/>
      <c r="X159" s="16"/>
      <c r="Y159" s="16"/>
      <c r="Z159" s="16"/>
      <c r="AA159" s="16"/>
      <c r="AB159" s="16"/>
      <c r="AC159" s="16"/>
      <c r="AD159" s="16"/>
      <c r="AE159" s="16"/>
      <c r="AF159" s="16"/>
      <c r="AG159" s="63">
        <v>124.86208000000002</v>
      </c>
      <c r="AH159" s="278">
        <v>10.108783980204436</v>
      </c>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row>
    <row r="160" spans="1:63">
      <c r="A160" s="18">
        <v>2560</v>
      </c>
      <c r="B160" s="38">
        <v>85</v>
      </c>
      <c r="C160" s="61">
        <v>24.1</v>
      </c>
      <c r="D160" s="38" t="s">
        <v>481</v>
      </c>
      <c r="E160" s="38">
        <v>300.8</v>
      </c>
      <c r="F160" s="38">
        <v>523</v>
      </c>
      <c r="G160" s="38">
        <v>24.15</v>
      </c>
      <c r="H160" s="38">
        <v>14.95</v>
      </c>
      <c r="I160" s="61">
        <v>106.26</v>
      </c>
      <c r="J160" s="38">
        <v>3173</v>
      </c>
      <c r="K160" s="55"/>
      <c r="L160" s="135">
        <f t="shared" si="28"/>
        <v>212.16433177322131</v>
      </c>
      <c r="M160" s="39">
        <f t="shared" si="29"/>
        <v>6076.506654387018</v>
      </c>
      <c r="N160" s="63">
        <f t="shared" si="30"/>
        <v>157.3184</v>
      </c>
      <c r="O160" s="63">
        <f t="shared" si="31"/>
        <v>146.74763570344649</v>
      </c>
      <c r="P160" s="279">
        <f t="shared" si="32"/>
        <v>10.570764296553506</v>
      </c>
      <c r="Q160" s="199">
        <f t="shared" si="33"/>
        <v>0.93280656111075688</v>
      </c>
      <c r="R160" s="106">
        <f t="shared" si="34"/>
        <v>2.2480053191489362</v>
      </c>
      <c r="S160" s="16"/>
      <c r="T160" s="16"/>
      <c r="U160" s="16"/>
      <c r="V160" s="16"/>
      <c r="W160" s="16"/>
      <c r="X160" s="16"/>
      <c r="Y160" s="16"/>
      <c r="Z160" s="16"/>
      <c r="AA160" s="16"/>
      <c r="AB160" s="16"/>
      <c r="AC160" s="16"/>
      <c r="AD160" s="16"/>
      <c r="AE160" s="16"/>
      <c r="AF160" s="16"/>
      <c r="AG160" s="63">
        <v>157.3184</v>
      </c>
      <c r="AH160" s="279">
        <v>10.570764296553506</v>
      </c>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row>
    <row r="161" spans="1:63">
      <c r="A161" s="18">
        <v>2813</v>
      </c>
      <c r="B161" s="38">
        <v>85</v>
      </c>
      <c r="C161" s="61">
        <v>24.1</v>
      </c>
      <c r="D161" s="38" t="s">
        <v>481</v>
      </c>
      <c r="E161" s="38">
        <v>300.60000000000002</v>
      </c>
      <c r="F161" s="38">
        <v>686</v>
      </c>
      <c r="G161" s="38">
        <v>24.15</v>
      </c>
      <c r="H161" s="38">
        <v>19.88</v>
      </c>
      <c r="I161" s="61">
        <v>106.1</v>
      </c>
      <c r="J161" s="38">
        <v>3333</v>
      </c>
      <c r="K161" s="55"/>
      <c r="L161" s="135">
        <f t="shared" si="28"/>
        <v>223.19889647792144</v>
      </c>
      <c r="M161" s="39">
        <f t="shared" si="29"/>
        <v>8075.9831927539199</v>
      </c>
      <c r="N161" s="63">
        <f t="shared" si="30"/>
        <v>206.2116</v>
      </c>
      <c r="O161" s="63">
        <f t="shared" si="31"/>
        <v>195.03499410500714</v>
      </c>
      <c r="P161" s="174">
        <f t="shared" si="32"/>
        <v>11.176605894992861</v>
      </c>
      <c r="Q161" s="202">
        <f t="shared" si="33"/>
        <v>0.94580030466281795</v>
      </c>
      <c r="R161" s="106">
        <f t="shared" si="34"/>
        <v>2.2495009980039917</v>
      </c>
      <c r="S161" s="16"/>
      <c r="T161" s="16"/>
      <c r="U161" s="16"/>
      <c r="V161" s="16"/>
      <c r="W161" s="16"/>
      <c r="X161" s="16"/>
      <c r="Y161" s="16"/>
      <c r="Z161" s="16"/>
      <c r="AA161" s="16"/>
      <c r="AB161" s="16"/>
      <c r="AC161" s="16"/>
      <c r="AD161" s="16"/>
      <c r="AE161" s="16"/>
      <c r="AF161" s="16"/>
      <c r="AG161" s="63">
        <v>206.2116</v>
      </c>
      <c r="AH161" s="174">
        <v>11.176605894992861</v>
      </c>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row>
    <row r="162" spans="1:63">
      <c r="A162" s="18">
        <v>2901</v>
      </c>
      <c r="B162" s="38">
        <v>85</v>
      </c>
      <c r="C162" s="61">
        <v>24.1</v>
      </c>
      <c r="D162" s="38" t="s">
        <v>481</v>
      </c>
      <c r="E162" s="38">
        <v>300.5</v>
      </c>
      <c r="F162" s="38">
        <v>798.2</v>
      </c>
      <c r="G162" s="38">
        <v>24.15</v>
      </c>
      <c r="H162" s="38">
        <v>23.27</v>
      </c>
      <c r="I162" s="61">
        <v>105.9</v>
      </c>
      <c r="J162" s="38">
        <v>3408</v>
      </c>
      <c r="K162" s="55"/>
      <c r="L162" s="135">
        <f t="shared" si="28"/>
        <v>228.6523868782794</v>
      </c>
      <c r="M162" s="39">
        <f t="shared" si="29"/>
        <v>9450.1585401491484</v>
      </c>
      <c r="N162" s="63">
        <f t="shared" si="30"/>
        <v>239.85910000000001</v>
      </c>
      <c r="O162" s="63">
        <f t="shared" si="31"/>
        <v>228.22132874460192</v>
      </c>
      <c r="P162" s="280">
        <f t="shared" si="32"/>
        <v>11.637771255398093</v>
      </c>
      <c r="Q162" s="205">
        <f t="shared" si="33"/>
        <v>0.95148080162312754</v>
      </c>
      <c r="R162" s="106">
        <f t="shared" si="34"/>
        <v>2.2502495840266219</v>
      </c>
      <c r="S162" s="16"/>
      <c r="T162" s="16"/>
      <c r="U162" s="16"/>
      <c r="V162" s="16"/>
      <c r="W162" s="16"/>
      <c r="X162" s="16"/>
      <c r="Y162" s="16"/>
      <c r="Z162" s="16"/>
      <c r="AA162" s="16"/>
      <c r="AB162" s="16"/>
      <c r="AC162" s="16"/>
      <c r="AD162" s="16"/>
      <c r="AE162" s="16"/>
      <c r="AF162" s="16"/>
      <c r="AG162" s="63">
        <v>239.85910000000001</v>
      </c>
      <c r="AH162" s="280">
        <v>11.637771255398093</v>
      </c>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row>
    <row r="163" spans="1:63">
      <c r="A163" s="18">
        <v>2912</v>
      </c>
      <c r="B163" s="38">
        <v>85</v>
      </c>
      <c r="C163" s="61">
        <v>24.1</v>
      </c>
      <c r="D163" s="38" t="s">
        <v>481</v>
      </c>
      <c r="E163" s="38">
        <v>300.45</v>
      </c>
      <c r="F163" s="38">
        <v>973.4</v>
      </c>
      <c r="G163" s="38">
        <v>24.15</v>
      </c>
      <c r="H163" s="38">
        <v>28.59</v>
      </c>
      <c r="I163" s="61">
        <v>105.3</v>
      </c>
      <c r="J163" s="38">
        <v>3470</v>
      </c>
      <c r="K163" s="55"/>
      <c r="L163" s="135">
        <f t="shared" si="28"/>
        <v>234.13870765876274</v>
      </c>
      <c r="M163" s="39">
        <f t="shared" si="29"/>
        <v>11605.501493177197</v>
      </c>
      <c r="N163" s="63">
        <f t="shared" si="30"/>
        <v>292.45802999999995</v>
      </c>
      <c r="O163" s="63">
        <f t="shared" si="31"/>
        <v>280.27286106022933</v>
      </c>
      <c r="P163" s="281">
        <f t="shared" si="32"/>
        <v>12.18516893977062</v>
      </c>
      <c r="Q163" s="207">
        <f t="shared" si="33"/>
        <v>0.95833532442323222</v>
      </c>
      <c r="R163" s="106">
        <f t="shared" si="34"/>
        <v>2.2506240639041435</v>
      </c>
      <c r="S163" s="16"/>
      <c r="T163" s="16"/>
      <c r="U163" s="16"/>
      <c r="V163" s="16"/>
      <c r="W163" s="16"/>
      <c r="X163" s="16"/>
      <c r="Y163" s="16"/>
      <c r="Z163" s="16"/>
      <c r="AA163" s="16"/>
      <c r="AB163" s="16"/>
      <c r="AC163" s="16"/>
      <c r="AD163" s="16"/>
      <c r="AE163" s="16"/>
      <c r="AF163" s="16"/>
      <c r="AG163" s="63">
        <v>292.45802999999995</v>
      </c>
      <c r="AH163" s="281">
        <v>12.18516893977062</v>
      </c>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row>
    <row r="164" spans="1:63">
      <c r="A164" s="18">
        <v>2867</v>
      </c>
      <c r="B164" s="38">
        <v>85</v>
      </c>
      <c r="C164" s="61">
        <v>24.1</v>
      </c>
      <c r="D164" s="38" t="s">
        <v>481</v>
      </c>
      <c r="E164" s="38">
        <v>300.35000000000002</v>
      </c>
      <c r="F164" s="38">
        <v>1097</v>
      </c>
      <c r="G164" s="38">
        <v>24.15</v>
      </c>
      <c r="H164" s="38">
        <v>32.32</v>
      </c>
      <c r="I164" s="61">
        <v>104.9</v>
      </c>
      <c r="J164" s="38">
        <v>3525</v>
      </c>
      <c r="K164" s="55"/>
      <c r="L164" s="135">
        <f t="shared" si="28"/>
        <v>238.756798310862</v>
      </c>
      <c r="M164" s="39">
        <f t="shared" si="29"/>
        <v>13115.812764006425</v>
      </c>
      <c r="N164" s="63">
        <f t="shared" si="30"/>
        <v>329.48394999999999</v>
      </c>
      <c r="O164" s="63">
        <f t="shared" si="31"/>
        <v>316.74687825075512</v>
      </c>
      <c r="P164" s="263">
        <f t="shared" si="32"/>
        <v>12.737071749244876</v>
      </c>
      <c r="Q164" s="210">
        <f t="shared" si="33"/>
        <v>0.96134236053305522</v>
      </c>
      <c r="R164" s="106">
        <f t="shared" si="34"/>
        <v>2.2513733977026797</v>
      </c>
      <c r="S164" s="16"/>
      <c r="T164" s="16"/>
      <c r="U164" s="16"/>
      <c r="V164" s="16"/>
      <c r="W164" s="16"/>
      <c r="X164" s="16"/>
      <c r="Y164" s="16"/>
      <c r="Z164" s="16"/>
      <c r="AA164" s="16"/>
      <c r="AB164" s="16"/>
      <c r="AC164" s="16"/>
      <c r="AD164" s="16"/>
      <c r="AE164" s="16"/>
      <c r="AF164" s="16"/>
      <c r="AG164" s="63">
        <v>329.48394999999999</v>
      </c>
      <c r="AH164" s="263">
        <v>12.737071749244876</v>
      </c>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row>
    <row r="165" spans="1:63">
      <c r="A165" s="18">
        <v>2843</v>
      </c>
      <c r="B165" s="38">
        <v>85</v>
      </c>
      <c r="C165" s="61">
        <v>24.1</v>
      </c>
      <c r="D165" s="38" t="s">
        <v>481</v>
      </c>
      <c r="E165" s="38">
        <v>300.3</v>
      </c>
      <c r="F165" s="38">
        <v>1187.5999999999999</v>
      </c>
      <c r="G165" s="38">
        <v>24.15</v>
      </c>
      <c r="H165" s="38">
        <v>35.06</v>
      </c>
      <c r="I165" s="61">
        <v>104.8</v>
      </c>
      <c r="J165" s="38">
        <v>3568</v>
      </c>
      <c r="K165" s="55"/>
      <c r="L165" s="135">
        <f t="shared" si="28"/>
        <v>241.89989305815607</v>
      </c>
      <c r="M165" s="39">
        <f t="shared" si="29"/>
        <v>14224.812487302714</v>
      </c>
      <c r="N165" s="63">
        <f t="shared" si="30"/>
        <v>356.63627999999994</v>
      </c>
      <c r="O165" s="63">
        <f t="shared" si="31"/>
        <v>343.52922156836053</v>
      </c>
      <c r="P165" s="282">
        <f t="shared" si="32"/>
        <v>13.107058431639416</v>
      </c>
      <c r="Q165" s="213">
        <f t="shared" si="33"/>
        <v>0.96324810691823215</v>
      </c>
      <c r="R165" s="106">
        <f t="shared" si="34"/>
        <v>2.2517482517482512</v>
      </c>
      <c r="S165" s="18">
        <v>2</v>
      </c>
      <c r="T165" s="18">
        <v>72</v>
      </c>
      <c r="U165" s="18">
        <v>76</v>
      </c>
      <c r="V165" s="18">
        <v>79</v>
      </c>
      <c r="W165" s="18">
        <v>84</v>
      </c>
      <c r="X165" s="18">
        <v>90</v>
      </c>
      <c r="Y165" s="18">
        <v>105</v>
      </c>
      <c r="Z165" s="18">
        <v>89</v>
      </c>
      <c r="AA165" s="18">
        <v>96</v>
      </c>
      <c r="AB165" s="16"/>
      <c r="AC165" s="16"/>
      <c r="AD165" s="16"/>
      <c r="AE165" s="16"/>
      <c r="AF165" s="16"/>
      <c r="AG165" s="63">
        <v>356.63627999999994</v>
      </c>
      <c r="AH165" s="282">
        <v>13.107058431639416</v>
      </c>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row>
    <row r="166" spans="1:63">
      <c r="A166" s="18">
        <v>2814</v>
      </c>
      <c r="B166" s="38">
        <v>85</v>
      </c>
      <c r="C166" s="61">
        <v>24.1</v>
      </c>
      <c r="D166" s="38" t="s">
        <v>481</v>
      </c>
      <c r="E166" s="38">
        <v>300.25</v>
      </c>
      <c r="F166" s="38">
        <v>1331.7</v>
      </c>
      <c r="G166" s="38">
        <v>24.15</v>
      </c>
      <c r="H166" s="38">
        <v>39.36</v>
      </c>
      <c r="I166" s="61">
        <v>104.5</v>
      </c>
      <c r="J166" s="38">
        <v>3683</v>
      </c>
      <c r="K166" s="55"/>
      <c r="L166" s="135">
        <f t="shared" si="28"/>
        <v>250.41338662314186</v>
      </c>
      <c r="M166" s="39">
        <f t="shared" si="29"/>
        <v>15964.442614072708</v>
      </c>
      <c r="N166" s="63">
        <f t="shared" si="30"/>
        <v>399.84292499999998</v>
      </c>
      <c r="O166" s="63">
        <f t="shared" si="31"/>
        <v>385.54128912985584</v>
      </c>
      <c r="P166" s="283">
        <f t="shared" si="32"/>
        <v>14.301635870144139</v>
      </c>
      <c r="Q166" s="215">
        <f t="shared" si="33"/>
        <v>0.96423186462497956</v>
      </c>
      <c r="R166" s="106">
        <f t="shared" si="34"/>
        <v>2.2521232306411321</v>
      </c>
      <c r="S166" s="18">
        <v>2</v>
      </c>
      <c r="T166" s="18">
        <v>76</v>
      </c>
      <c r="U166" s="18">
        <v>79</v>
      </c>
      <c r="V166" s="18">
        <v>83</v>
      </c>
      <c r="W166" s="18">
        <v>98</v>
      </c>
      <c r="X166" s="18">
        <v>102</v>
      </c>
      <c r="Y166" s="18">
        <v>112</v>
      </c>
      <c r="Z166" s="18">
        <v>98</v>
      </c>
      <c r="AA166" s="18">
        <v>101</v>
      </c>
      <c r="AB166" s="16"/>
      <c r="AC166" s="16"/>
      <c r="AD166" s="18">
        <v>80</v>
      </c>
      <c r="AE166" s="18">
        <v>53</v>
      </c>
      <c r="AF166" s="16"/>
      <c r="AG166" s="63">
        <v>399.84292499999998</v>
      </c>
      <c r="AH166" s="283">
        <v>14.301635870144139</v>
      </c>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row>
    <row r="167" spans="1:63">
      <c r="A167" s="16" t="s">
        <v>563</v>
      </c>
      <c r="B167" s="38">
        <v>85</v>
      </c>
      <c r="C167" s="61">
        <v>24.1</v>
      </c>
      <c r="D167" s="38" t="s">
        <v>481</v>
      </c>
      <c r="E167" s="38">
        <v>300.3</v>
      </c>
      <c r="F167" s="38">
        <v>1328.7</v>
      </c>
      <c r="G167" s="38">
        <v>24.114999999999998</v>
      </c>
      <c r="H167" s="38">
        <v>39.33</v>
      </c>
      <c r="I167" s="61">
        <v>104.5</v>
      </c>
      <c r="J167" s="38">
        <v>3670</v>
      </c>
      <c r="K167" s="55"/>
      <c r="L167" s="135">
        <f t="shared" si="28"/>
        <v>249.52949468013321</v>
      </c>
      <c r="M167" s="39">
        <f t="shared" si="29"/>
        <v>15952.308921861022</v>
      </c>
      <c r="N167" s="63">
        <f t="shared" si="30"/>
        <v>399.00861000000003</v>
      </c>
      <c r="O167" s="63">
        <f t="shared" si="31"/>
        <v>384.68992965067855</v>
      </c>
      <c r="P167" s="283">
        <f t="shared" si="32"/>
        <v>14.318680349321482</v>
      </c>
      <c r="Q167" s="215">
        <f t="shared" si="33"/>
        <v>0.96411435745879903</v>
      </c>
      <c r="R167" s="106">
        <f t="shared" si="34"/>
        <v>2.2484848484848481</v>
      </c>
      <c r="S167" s="18">
        <v>3</v>
      </c>
      <c r="T167" s="18">
        <v>48</v>
      </c>
      <c r="U167" s="18">
        <v>50</v>
      </c>
      <c r="V167" s="18">
        <v>54</v>
      </c>
      <c r="W167" s="18">
        <v>66</v>
      </c>
      <c r="X167" s="18">
        <v>66</v>
      </c>
      <c r="Y167" s="18">
        <v>74</v>
      </c>
      <c r="Z167" s="18">
        <v>63</v>
      </c>
      <c r="AA167" s="18">
        <v>78</v>
      </c>
      <c r="AB167" s="16"/>
      <c r="AC167" s="18">
        <v>24</v>
      </c>
      <c r="AD167" s="18">
        <v>88</v>
      </c>
      <c r="AE167" s="18">
        <v>57</v>
      </c>
      <c r="AF167" s="16"/>
      <c r="AG167" s="63">
        <v>399.00861000000003</v>
      </c>
      <c r="AH167" s="283">
        <v>14.318680349321482</v>
      </c>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row>
    <row r="168" spans="1:63">
      <c r="A168" s="16" t="s">
        <v>564</v>
      </c>
      <c r="B168" s="38">
        <v>85</v>
      </c>
      <c r="C168" s="61">
        <v>24.1</v>
      </c>
      <c r="D168" s="38" t="s">
        <v>481</v>
      </c>
      <c r="E168" s="38">
        <v>300.25</v>
      </c>
      <c r="F168" s="38">
        <v>1524.7</v>
      </c>
      <c r="G168" s="38">
        <v>24.11</v>
      </c>
      <c r="H168" s="38">
        <v>45.12</v>
      </c>
      <c r="I168" s="61">
        <v>104.16</v>
      </c>
      <c r="J168" s="38">
        <v>3885</v>
      </c>
      <c r="K168" s="55"/>
      <c r="L168" s="135">
        <f t="shared" si="28"/>
        <v>265.00994088422232</v>
      </c>
      <c r="M168" s="39">
        <f t="shared" si="29"/>
        <v>18293.262226146409</v>
      </c>
      <c r="N168" s="63">
        <f t="shared" si="30"/>
        <v>457.79117500000001</v>
      </c>
      <c r="O168" s="63">
        <f t="shared" si="31"/>
        <v>441.05055227238995</v>
      </c>
      <c r="P168" s="284">
        <f t="shared" si="32"/>
        <v>16.740622727610059</v>
      </c>
      <c r="Q168" s="216">
        <f t="shared" si="33"/>
        <v>0.96343174870592463</v>
      </c>
      <c r="R168" s="106">
        <f t="shared" si="34"/>
        <v>2.2483930058284765</v>
      </c>
      <c r="S168" s="16"/>
      <c r="T168" s="16"/>
      <c r="U168" s="16"/>
      <c r="V168" s="16"/>
      <c r="W168" s="16"/>
      <c r="X168" s="16"/>
      <c r="Y168" s="16"/>
      <c r="Z168" s="16"/>
      <c r="AA168" s="16"/>
      <c r="AB168" s="16"/>
      <c r="AC168" s="16"/>
      <c r="AD168" s="16"/>
      <c r="AE168" s="16"/>
      <c r="AF168" s="16"/>
      <c r="AG168" s="63">
        <v>457.79117500000001</v>
      </c>
      <c r="AH168" s="284">
        <v>16.740622727610059</v>
      </c>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row>
    <row r="169" spans="1:63">
      <c r="A169" s="18">
        <v>2714</v>
      </c>
      <c r="B169" s="38">
        <v>85</v>
      </c>
      <c r="C169" s="61">
        <v>24.1</v>
      </c>
      <c r="D169" s="38" t="s">
        <v>481</v>
      </c>
      <c r="E169" s="38">
        <v>300.64999999999998</v>
      </c>
      <c r="F169" s="38">
        <v>1676.5</v>
      </c>
      <c r="G169" s="38">
        <v>24.11</v>
      </c>
      <c r="H169" s="38">
        <v>49.7</v>
      </c>
      <c r="I169" s="61">
        <v>104.7</v>
      </c>
      <c r="J169" s="38">
        <v>4092</v>
      </c>
      <c r="K169" s="55"/>
      <c r="L169" s="135">
        <f t="shared" si="28"/>
        <v>277.69052187032491</v>
      </c>
      <c r="M169" s="39">
        <f t="shared" si="29"/>
        <v>20143.791278834091</v>
      </c>
      <c r="N169" s="63">
        <f t="shared" si="30"/>
        <v>504.03972499999998</v>
      </c>
      <c r="O169" s="63">
        <f t="shared" si="31"/>
        <v>485.6668077326899</v>
      </c>
      <c r="P169" s="285">
        <f t="shared" si="32"/>
        <v>18.372917267310072</v>
      </c>
      <c r="Q169" s="216">
        <f t="shared" si="33"/>
        <v>0.96354867214620821</v>
      </c>
      <c r="R169" s="106">
        <f t="shared" si="34"/>
        <v>2.2454016298020951</v>
      </c>
      <c r="S169" s="16"/>
      <c r="T169" s="16"/>
      <c r="U169" s="16"/>
      <c r="V169" s="16"/>
      <c r="W169" s="16"/>
      <c r="X169" s="16"/>
      <c r="Y169" s="16"/>
      <c r="Z169" s="16"/>
      <c r="AA169" s="16"/>
      <c r="AB169" s="16"/>
      <c r="AC169" s="16"/>
      <c r="AD169" s="16"/>
      <c r="AE169" s="16"/>
      <c r="AF169" s="16"/>
      <c r="AG169" s="63">
        <v>504.03972499999998</v>
      </c>
      <c r="AH169" s="285">
        <v>18.372917267310072</v>
      </c>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row>
    <row r="170" spans="1:63">
      <c r="A170" s="18">
        <v>2753</v>
      </c>
      <c r="B170" s="38">
        <v>85</v>
      </c>
      <c r="C170" s="61">
        <v>24.1</v>
      </c>
      <c r="D170" s="38" t="s">
        <v>481</v>
      </c>
      <c r="E170" s="38">
        <v>300.8</v>
      </c>
      <c r="F170" s="38">
        <v>1731.6</v>
      </c>
      <c r="G170" s="38">
        <v>24.11</v>
      </c>
      <c r="H170" s="38">
        <v>51.33</v>
      </c>
      <c r="I170" s="61">
        <v>104.7</v>
      </c>
      <c r="J170" s="38">
        <v>4162</v>
      </c>
      <c r="K170" s="55"/>
      <c r="L170" s="135">
        <f t="shared" si="28"/>
        <v>282.44084849078502</v>
      </c>
      <c r="M170" s="39">
        <f t="shared" si="29"/>
        <v>20802.127907834929</v>
      </c>
      <c r="N170" s="63">
        <f t="shared" si="30"/>
        <v>520.86527999999998</v>
      </c>
      <c r="O170" s="63">
        <f t="shared" si="31"/>
        <v>501.53930385790017</v>
      </c>
      <c r="P170" s="286">
        <f t="shared" si="32"/>
        <v>19.325976142099819</v>
      </c>
      <c r="Q170" s="217">
        <f t="shared" si="33"/>
        <v>0.96289640165284229</v>
      </c>
      <c r="R170" s="106">
        <f t="shared" si="34"/>
        <v>2.2442819148936168</v>
      </c>
      <c r="S170" s="18">
        <v>3</v>
      </c>
      <c r="T170" s="18">
        <v>49</v>
      </c>
      <c r="U170" s="18">
        <v>50</v>
      </c>
      <c r="V170" s="18">
        <v>51</v>
      </c>
      <c r="W170" s="18">
        <v>80</v>
      </c>
      <c r="X170" s="18">
        <v>79</v>
      </c>
      <c r="Y170" s="18">
        <v>67</v>
      </c>
      <c r="Z170" s="18">
        <v>68</v>
      </c>
      <c r="AA170" s="18">
        <v>70</v>
      </c>
      <c r="AB170" s="16"/>
      <c r="AC170" s="18">
        <v>25</v>
      </c>
      <c r="AD170" s="18">
        <v>113</v>
      </c>
      <c r="AE170" s="18">
        <v>74</v>
      </c>
      <c r="AF170" s="16"/>
      <c r="AG170" s="63">
        <v>520.86527999999998</v>
      </c>
      <c r="AH170" s="286">
        <v>19.325976142099819</v>
      </c>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row>
    <row r="171" spans="1:63">
      <c r="A171" s="16" t="s">
        <v>565</v>
      </c>
      <c r="B171" s="38">
        <v>85</v>
      </c>
      <c r="C171" s="61">
        <v>24.1</v>
      </c>
      <c r="D171" s="38" t="s">
        <v>481</v>
      </c>
      <c r="E171" s="16"/>
      <c r="F171" s="16"/>
      <c r="G171" s="16"/>
      <c r="H171" s="16"/>
      <c r="I171" s="55"/>
      <c r="J171" s="16"/>
      <c r="K171" s="55"/>
      <c r="L171" s="135" t="e">
        <f t="shared" si="28"/>
        <v>#DIV/0!</v>
      </c>
      <c r="M171" s="39">
        <f t="shared" si="29"/>
        <v>5.6167354629738204</v>
      </c>
      <c r="N171" s="63">
        <f t="shared" si="30"/>
        <v>0</v>
      </c>
      <c r="O171" s="63">
        <f t="shared" si="31"/>
        <v>0</v>
      </c>
      <c r="P171" s="149">
        <f t="shared" si="32"/>
        <v>0</v>
      </c>
      <c r="Q171" s="114" t="e">
        <f t="shared" si="33"/>
        <v>#DIV/0!</v>
      </c>
      <c r="R171" s="106" t="e">
        <f t="shared" si="34"/>
        <v>#DIV/0!</v>
      </c>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row>
    <row r="172" spans="1:63">
      <c r="A172" s="16"/>
      <c r="B172" s="38">
        <v>85</v>
      </c>
      <c r="C172" s="61">
        <v>24.1</v>
      </c>
      <c r="D172" s="38" t="s">
        <v>481</v>
      </c>
      <c r="E172" s="16"/>
      <c r="F172" s="16"/>
      <c r="G172" s="16"/>
      <c r="H172" s="16"/>
      <c r="I172" s="55"/>
      <c r="J172" s="16"/>
      <c r="K172" s="55"/>
      <c r="L172" s="135" t="e">
        <f t="shared" si="28"/>
        <v>#DIV/0!</v>
      </c>
      <c r="M172" s="39">
        <f t="shared" si="29"/>
        <v>5.6167354629738204</v>
      </c>
      <c r="N172" s="63">
        <f t="shared" si="30"/>
        <v>0</v>
      </c>
      <c r="O172" s="63">
        <f t="shared" si="31"/>
        <v>0</v>
      </c>
      <c r="P172" s="149">
        <f t="shared" si="32"/>
        <v>0</v>
      </c>
      <c r="Q172" s="114" t="e">
        <f t="shared" si="33"/>
        <v>#DIV/0!</v>
      </c>
      <c r="R172" s="106" t="e">
        <f t="shared" si="34"/>
        <v>#DIV/0!</v>
      </c>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row>
    <row r="173" spans="1:63">
      <c r="A173" s="16"/>
      <c r="B173" s="38">
        <v>85</v>
      </c>
      <c r="C173" s="61">
        <v>24.1</v>
      </c>
      <c r="D173" s="38" t="s">
        <v>481</v>
      </c>
      <c r="E173" s="16"/>
      <c r="F173" s="16"/>
      <c r="G173" s="16"/>
      <c r="H173" s="16"/>
      <c r="I173" s="55"/>
      <c r="J173" s="16"/>
      <c r="K173" s="55"/>
      <c r="L173" s="135" t="e">
        <f t="shared" si="28"/>
        <v>#DIV/0!</v>
      </c>
      <c r="M173" s="39">
        <f t="shared" si="29"/>
        <v>5.6167354629738204</v>
      </c>
      <c r="N173" s="63">
        <f t="shared" si="30"/>
        <v>0</v>
      </c>
      <c r="O173" s="63">
        <f t="shared" si="31"/>
        <v>0</v>
      </c>
      <c r="P173" s="149">
        <f t="shared" si="32"/>
        <v>0</v>
      </c>
      <c r="Q173" s="114" t="e">
        <f t="shared" si="33"/>
        <v>#DIV/0!</v>
      </c>
      <c r="R173" s="106" t="e">
        <f t="shared" si="34"/>
        <v>#DIV/0!</v>
      </c>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row>
    <row r="174" spans="1:63">
      <c r="A174" s="16"/>
      <c r="B174" s="38">
        <v>85</v>
      </c>
      <c r="C174" s="61">
        <v>24.1</v>
      </c>
      <c r="D174" s="38" t="s">
        <v>481</v>
      </c>
      <c r="E174" s="16"/>
      <c r="F174" s="16"/>
      <c r="G174" s="16"/>
      <c r="H174" s="16"/>
      <c r="I174" s="55"/>
      <c r="J174" s="16"/>
      <c r="K174" s="55"/>
      <c r="L174" s="135" t="e">
        <f t="shared" si="28"/>
        <v>#DIV/0!</v>
      </c>
      <c r="M174" s="39">
        <f t="shared" si="29"/>
        <v>5.6167354629738204</v>
      </c>
      <c r="N174" s="63">
        <f t="shared" si="30"/>
        <v>0</v>
      </c>
      <c r="O174" s="63">
        <f t="shared" si="31"/>
        <v>0</v>
      </c>
      <c r="P174" s="149">
        <f t="shared" si="32"/>
        <v>0</v>
      </c>
      <c r="Q174" s="114" t="e">
        <f t="shared" si="33"/>
        <v>#DIV/0!</v>
      </c>
      <c r="R174" s="106" t="e">
        <f t="shared" si="34"/>
        <v>#DIV/0!</v>
      </c>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row>
    <row r="175" spans="1:63">
      <c r="A175" s="16"/>
      <c r="B175" s="38">
        <v>85</v>
      </c>
      <c r="C175" s="61">
        <v>24.1</v>
      </c>
      <c r="D175" s="38" t="s">
        <v>481</v>
      </c>
      <c r="E175" s="16"/>
      <c r="F175" s="16"/>
      <c r="G175" s="16"/>
      <c r="H175" s="16"/>
      <c r="I175" s="55"/>
      <c r="J175" s="16"/>
      <c r="K175" s="55"/>
      <c r="L175" s="135" t="e">
        <f t="shared" si="28"/>
        <v>#DIV/0!</v>
      </c>
      <c r="M175" s="39">
        <f t="shared" si="29"/>
        <v>5.6167354629738204</v>
      </c>
      <c r="N175" s="63">
        <f t="shared" si="30"/>
        <v>0</v>
      </c>
      <c r="O175" s="63">
        <f t="shared" si="31"/>
        <v>0</v>
      </c>
      <c r="P175" s="149">
        <f t="shared" si="32"/>
        <v>0</v>
      </c>
      <c r="Q175" s="114" t="e">
        <f t="shared" si="33"/>
        <v>#DIV/0!</v>
      </c>
      <c r="R175" s="106" t="e">
        <f t="shared" si="34"/>
        <v>#DIV/0!</v>
      </c>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row>
    <row r="176" spans="1:63">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row>
    <row r="177" spans="1:63">
      <c r="A177" s="75" t="s">
        <v>415</v>
      </c>
      <c r="B177" s="47" t="s">
        <v>416</v>
      </c>
      <c r="C177" s="47" t="s">
        <v>21</v>
      </c>
      <c r="D177" s="47" t="s">
        <v>417</v>
      </c>
      <c r="E177" s="47" t="s">
        <v>418</v>
      </c>
      <c r="F177" s="76" t="s">
        <v>419</v>
      </c>
      <c r="G177" s="47" t="s">
        <v>420</v>
      </c>
      <c r="H177" s="77" t="s">
        <v>421</v>
      </c>
      <c r="I177" s="76" t="s">
        <v>422</v>
      </c>
      <c r="J177" s="47" t="s">
        <v>423</v>
      </c>
      <c r="K177" s="76" t="s">
        <v>424</v>
      </c>
      <c r="L177" s="122" t="s">
        <v>425</v>
      </c>
      <c r="M177" s="79" t="s">
        <v>493</v>
      </c>
      <c r="N177" s="16"/>
      <c r="O177" s="79" t="s">
        <v>426</v>
      </c>
      <c r="P177" s="47" t="s">
        <v>427</v>
      </c>
      <c r="Q177" s="79" t="s">
        <v>428</v>
      </c>
      <c r="R177" s="80" t="s">
        <v>430</v>
      </c>
      <c r="S177" s="47" t="s">
        <v>431</v>
      </c>
      <c r="T177" s="47" t="s">
        <v>432</v>
      </c>
      <c r="U177" s="47" t="s">
        <v>433</v>
      </c>
      <c r="V177" s="47" t="s">
        <v>434</v>
      </c>
      <c r="W177" s="75" t="s">
        <v>429</v>
      </c>
      <c r="X177" s="16"/>
      <c r="Y177" s="57"/>
      <c r="Z177" s="57"/>
      <c r="AA177" s="16"/>
      <c r="AB177" s="16"/>
      <c r="AC177" s="16"/>
      <c r="AD177" s="16"/>
      <c r="AE177" s="16"/>
      <c r="AF177" s="16"/>
      <c r="AG177" s="57"/>
      <c r="AH177" s="16"/>
      <c r="AI177" s="16"/>
      <c r="AJ177" s="16"/>
      <c r="AK177" s="16"/>
      <c r="AL177" s="152"/>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row>
    <row r="178" spans="1:63">
      <c r="A178" s="16" t="s">
        <v>566</v>
      </c>
      <c r="B178" s="38">
        <v>305</v>
      </c>
      <c r="C178" s="81">
        <v>45612</v>
      </c>
      <c r="D178" s="82" t="s">
        <v>436</v>
      </c>
      <c r="E178" s="38" t="s">
        <v>437</v>
      </c>
      <c r="F178" s="55" t="s">
        <v>438</v>
      </c>
      <c r="G178" s="38" t="s">
        <v>439</v>
      </c>
      <c r="H178" s="61">
        <v>1000</v>
      </c>
      <c r="I178" s="61" t="s">
        <v>439</v>
      </c>
      <c r="J178" s="38" t="s">
        <v>440</v>
      </c>
      <c r="K178" s="61">
        <v>20.7</v>
      </c>
      <c r="L178" s="123" t="s">
        <v>442</v>
      </c>
      <c r="M178" s="63" t="s">
        <v>494</v>
      </c>
      <c r="N178" s="16"/>
      <c r="O178" s="63" t="s">
        <v>443</v>
      </c>
      <c r="P178" s="63" t="s">
        <v>443</v>
      </c>
      <c r="Q178" s="63" t="s">
        <v>444</v>
      </c>
      <c r="R178" s="86" t="s">
        <v>445</v>
      </c>
      <c r="S178" s="38" t="s">
        <v>446</v>
      </c>
      <c r="T178" s="38" t="s">
        <v>447</v>
      </c>
      <c r="U178" s="38" t="s">
        <v>443</v>
      </c>
      <c r="V178" s="38" t="s">
        <v>449</v>
      </c>
      <c r="W178" s="16" t="s">
        <v>444</v>
      </c>
      <c r="X178" s="16"/>
      <c r="Y178" s="57"/>
      <c r="Z178" s="16"/>
      <c r="AA178" s="16"/>
      <c r="AB178" s="16"/>
      <c r="AC178" s="16"/>
      <c r="AD178" s="16"/>
      <c r="AE178" s="16"/>
      <c r="AF178" s="16"/>
      <c r="AG178" s="57"/>
      <c r="AH178" s="16"/>
      <c r="AI178" s="16"/>
      <c r="AJ178" s="16"/>
      <c r="AK178" s="16"/>
      <c r="AL178" s="152"/>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row>
    <row r="179" spans="1:63">
      <c r="A179" s="124" t="s">
        <v>450</v>
      </c>
      <c r="B179" s="125" t="s">
        <v>451</v>
      </c>
      <c r="C179" s="126" t="s">
        <v>452</v>
      </c>
      <c r="D179" s="125" t="s">
        <v>453</v>
      </c>
      <c r="E179" s="126" t="s">
        <v>454</v>
      </c>
      <c r="F179" s="127" t="s">
        <v>455</v>
      </c>
      <c r="G179" s="125" t="s">
        <v>456</v>
      </c>
      <c r="H179" s="125" t="s">
        <v>457</v>
      </c>
      <c r="I179" s="126" t="s">
        <v>458</v>
      </c>
      <c r="J179" s="125" t="s">
        <v>459</v>
      </c>
      <c r="K179" s="125" t="s">
        <v>460</v>
      </c>
      <c r="L179" s="128" t="s">
        <v>461</v>
      </c>
      <c r="M179" s="129" t="s">
        <v>462</v>
      </c>
      <c r="N179" s="129" t="s">
        <v>463</v>
      </c>
      <c r="O179" s="119" t="s">
        <v>464</v>
      </c>
      <c r="P179" s="119" t="s">
        <v>465</v>
      </c>
      <c r="Q179" s="128" t="s">
        <v>367</v>
      </c>
      <c r="R179" s="119" t="s">
        <v>466</v>
      </c>
      <c r="S179" s="127" t="s">
        <v>467</v>
      </c>
      <c r="T179" s="127" t="s">
        <v>468</v>
      </c>
      <c r="U179" s="125" t="s">
        <v>469</v>
      </c>
      <c r="V179" s="125" t="s">
        <v>470</v>
      </c>
      <c r="W179" s="125" t="s">
        <v>471</v>
      </c>
      <c r="X179" s="125" t="s">
        <v>472</v>
      </c>
      <c r="Y179" s="125" t="s">
        <v>473</v>
      </c>
      <c r="Z179" s="125" t="s">
        <v>474</v>
      </c>
      <c r="AA179" s="125" t="s">
        <v>475</v>
      </c>
      <c r="AB179" s="126" t="s">
        <v>476</v>
      </c>
      <c r="AC179" s="125" t="s">
        <v>477</v>
      </c>
      <c r="AD179" s="125" t="s">
        <v>478</v>
      </c>
      <c r="AE179" s="87" t="s">
        <v>495</v>
      </c>
      <c r="AF179" s="125" t="s">
        <v>496</v>
      </c>
      <c r="AG179" s="57"/>
      <c r="AH179" s="16"/>
      <c r="AI179" s="16"/>
      <c r="AJ179" s="16"/>
      <c r="AK179" s="16"/>
      <c r="AL179" s="152"/>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row>
    <row r="180" spans="1:63">
      <c r="A180" s="16"/>
      <c r="B180" s="38">
        <v>85</v>
      </c>
      <c r="C180" s="61">
        <v>24.1</v>
      </c>
      <c r="D180" s="38" t="s">
        <v>481</v>
      </c>
      <c r="E180" s="38">
        <v>400.85</v>
      </c>
      <c r="F180" s="38">
        <v>23</v>
      </c>
      <c r="G180" s="38">
        <v>24.14</v>
      </c>
      <c r="H180" s="38">
        <v>0.02</v>
      </c>
      <c r="I180" s="61">
        <v>123.8</v>
      </c>
      <c r="J180" s="38">
        <v>2378</v>
      </c>
      <c r="K180" s="55"/>
      <c r="L180" s="135">
        <f t="shared" ref="L180:L201" si="35">(J180/1000)*1/(2*PI()*0.0000000224*I180*1000)</f>
        <v>136.47821034521661</v>
      </c>
      <c r="M180" s="39">
        <f t="shared" ref="M180:M201" si="36">(0.00561673546297382+ 0.406460306032157*H180
    -0.0000254657386682608*H180*H180)*1000</f>
        <v>13.745931397321494</v>
      </c>
      <c r="N180" s="63">
        <f t="shared" ref="N180:N201" si="37">E180*F180/1000</f>
        <v>9.2195500000000017</v>
      </c>
      <c r="O180" s="63">
        <f t="shared" ref="O180:O201" si="38">M180*G180/1000</f>
        <v>0.33182678393134085</v>
      </c>
      <c r="P180" s="167">
        <f t="shared" ref="P180:P201" si="39">N180-O180</f>
        <v>8.887723216068661</v>
      </c>
      <c r="Q180" s="114">
        <f t="shared" ref="Q180:Q201" si="40">O180/N180</f>
        <v>3.5991646439505268E-2</v>
      </c>
      <c r="R180" s="106">
        <f t="shared" ref="R180:R201" si="41">28/2*(1/((E180/G180)*0.5))</f>
        <v>1.6862167893226891</v>
      </c>
      <c r="S180" s="18">
        <v>10</v>
      </c>
      <c r="T180" s="18">
        <v>56</v>
      </c>
      <c r="U180" s="18">
        <v>58</v>
      </c>
      <c r="V180" s="18">
        <v>60</v>
      </c>
      <c r="W180" s="18">
        <v>47</v>
      </c>
      <c r="X180" s="18">
        <v>53</v>
      </c>
      <c r="Y180" s="18">
        <v>81</v>
      </c>
      <c r="Z180" s="18">
        <v>48</v>
      </c>
      <c r="AA180" s="18">
        <v>78</v>
      </c>
      <c r="AB180" s="16"/>
      <c r="AC180" s="16"/>
      <c r="AD180" s="16" t="s">
        <v>567</v>
      </c>
      <c r="AE180" s="16" t="s">
        <v>567</v>
      </c>
      <c r="AF180" s="16"/>
      <c r="AG180" s="57"/>
      <c r="AH180" s="16"/>
      <c r="AI180" s="16"/>
      <c r="AJ180" s="16"/>
      <c r="AK180" s="152"/>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row>
    <row r="181" spans="1:63">
      <c r="A181" s="16"/>
      <c r="B181" s="38">
        <v>85</v>
      </c>
      <c r="C181" s="61">
        <v>24.1</v>
      </c>
      <c r="D181" s="38" t="s">
        <v>481</v>
      </c>
      <c r="E181" s="38">
        <v>400.8</v>
      </c>
      <c r="F181" s="38">
        <v>58</v>
      </c>
      <c r="G181" s="38">
        <v>24.145</v>
      </c>
      <c r="H181" s="38">
        <v>1.47</v>
      </c>
      <c r="I181" s="61">
        <v>122.2</v>
      </c>
      <c r="J181" s="38">
        <v>2454</v>
      </c>
      <c r="K181" s="55"/>
      <c r="L181" s="135">
        <f t="shared" si="35"/>
        <v>142.68406240775923</v>
      </c>
      <c r="M181" s="39">
        <f t="shared" si="36"/>
        <v>603.05835641555643</v>
      </c>
      <c r="N181" s="63">
        <f t="shared" si="37"/>
        <v>23.246400000000001</v>
      </c>
      <c r="O181" s="63">
        <f t="shared" si="38"/>
        <v>14.560844015653609</v>
      </c>
      <c r="P181" s="165">
        <f t="shared" si="39"/>
        <v>8.6855559843463919</v>
      </c>
      <c r="Q181" s="114">
        <f t="shared" si="40"/>
        <v>0.62636984718724653</v>
      </c>
      <c r="R181" s="106">
        <f t="shared" si="41"/>
        <v>1.686776447105788</v>
      </c>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row>
    <row r="182" spans="1:63">
      <c r="A182" s="16"/>
      <c r="B182" s="38">
        <v>85</v>
      </c>
      <c r="C182" s="61">
        <v>24.1</v>
      </c>
      <c r="D182" s="38" t="s">
        <v>481</v>
      </c>
      <c r="E182" s="38">
        <v>400.75</v>
      </c>
      <c r="F182" s="38">
        <v>92.6</v>
      </c>
      <c r="G182" s="38">
        <v>24.15</v>
      </c>
      <c r="H182" s="38">
        <v>2.85</v>
      </c>
      <c r="I182" s="61">
        <v>121.5</v>
      </c>
      <c r="J182" s="38">
        <v>2514</v>
      </c>
      <c r="K182" s="55"/>
      <c r="L182" s="135">
        <f t="shared" si="35"/>
        <v>147.01481736222252</v>
      </c>
      <c r="M182" s="39">
        <f t="shared" si="36"/>
        <v>1163.8217621922884</v>
      </c>
      <c r="N182" s="63">
        <f t="shared" si="37"/>
        <v>37.109449999999995</v>
      </c>
      <c r="O182" s="63">
        <f t="shared" si="38"/>
        <v>28.106295556943763</v>
      </c>
      <c r="P182" s="146">
        <f t="shared" si="39"/>
        <v>9.003154443056232</v>
      </c>
      <c r="Q182" s="114">
        <f t="shared" si="40"/>
        <v>0.75738917060058197</v>
      </c>
      <c r="R182" s="106">
        <f t="shared" si="41"/>
        <v>1.6873362445414846</v>
      </c>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row>
    <row r="183" spans="1:63">
      <c r="A183" s="16"/>
      <c r="B183" s="38">
        <v>85</v>
      </c>
      <c r="C183" s="61">
        <v>24.1</v>
      </c>
      <c r="D183" s="38" t="s">
        <v>481</v>
      </c>
      <c r="E183" s="38">
        <v>400.65</v>
      </c>
      <c r="F183" s="38">
        <v>127.5</v>
      </c>
      <c r="G183" s="38">
        <v>24.145</v>
      </c>
      <c r="H183" s="38">
        <v>4.25</v>
      </c>
      <c r="I183" s="61">
        <v>121.1</v>
      </c>
      <c r="J183" s="38">
        <v>2570</v>
      </c>
      <c r="K183" s="55"/>
      <c r="L183" s="135">
        <f t="shared" si="35"/>
        <v>150.78602532815671</v>
      </c>
      <c r="M183" s="39">
        <f t="shared" si="36"/>
        <v>1732.6130611949457</v>
      </c>
      <c r="N183" s="63">
        <f t="shared" si="37"/>
        <v>51.082875000000001</v>
      </c>
      <c r="O183" s="63">
        <f t="shared" si="38"/>
        <v>41.833942362551966</v>
      </c>
      <c r="P183" s="172">
        <f t="shared" si="39"/>
        <v>9.2489326374480356</v>
      </c>
      <c r="Q183" s="114">
        <f t="shared" si="40"/>
        <v>0.81894259793623525</v>
      </c>
      <c r="R183" s="106">
        <f t="shared" si="41"/>
        <v>1.68740796206165</v>
      </c>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row>
    <row r="184" spans="1:63">
      <c r="A184" s="16"/>
      <c r="B184" s="38">
        <v>85</v>
      </c>
      <c r="C184" s="61">
        <v>24.1</v>
      </c>
      <c r="D184" s="38" t="s">
        <v>481</v>
      </c>
      <c r="E184" s="38">
        <v>400.55</v>
      </c>
      <c r="F184" s="38">
        <v>199.5</v>
      </c>
      <c r="G184" s="38">
        <v>24.145</v>
      </c>
      <c r="H184" s="38">
        <v>7.14</v>
      </c>
      <c r="I184" s="61">
        <v>120.59</v>
      </c>
      <c r="J184" s="38">
        <v>2670</v>
      </c>
      <c r="K184" s="55"/>
      <c r="L184" s="135">
        <f t="shared" si="35"/>
        <v>157.31570450321655</v>
      </c>
      <c r="M184" s="39">
        <f t="shared" si="36"/>
        <v>2906.4450873615619</v>
      </c>
      <c r="N184" s="63">
        <f t="shared" si="37"/>
        <v>79.909725000000009</v>
      </c>
      <c r="O184" s="63">
        <f t="shared" si="38"/>
        <v>70.176116634344922</v>
      </c>
      <c r="P184" s="147">
        <f t="shared" si="39"/>
        <v>9.7336083656550869</v>
      </c>
      <c r="Q184" s="114">
        <f t="shared" si="40"/>
        <v>0.87819244321445122</v>
      </c>
      <c r="R184" s="106">
        <f t="shared" si="41"/>
        <v>1.6878292348021471</v>
      </c>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row>
    <row r="185" spans="1:63">
      <c r="A185" s="16"/>
      <c r="B185" s="38">
        <v>85</v>
      </c>
      <c r="C185" s="61">
        <v>24.1</v>
      </c>
      <c r="D185" s="38" t="s">
        <v>481</v>
      </c>
      <c r="E185" s="38">
        <v>400.45</v>
      </c>
      <c r="F185" s="38">
        <v>273.3</v>
      </c>
      <c r="G185" s="38">
        <v>24.145</v>
      </c>
      <c r="H185" s="38">
        <v>10.1</v>
      </c>
      <c r="I185" s="61">
        <v>120.3</v>
      </c>
      <c r="J185" s="38">
        <v>2762</v>
      </c>
      <c r="K185" s="55"/>
      <c r="L185" s="135">
        <f t="shared" si="35"/>
        <v>163.12861923309839</v>
      </c>
      <c r="M185" s="39">
        <f t="shared" si="36"/>
        <v>4108.2680663862102</v>
      </c>
      <c r="N185" s="63">
        <f t="shared" si="37"/>
        <v>109.44298500000001</v>
      </c>
      <c r="O185" s="63">
        <f t="shared" si="38"/>
        <v>99.194132462895041</v>
      </c>
      <c r="P185" s="200">
        <f t="shared" si="39"/>
        <v>10.248852537104966</v>
      </c>
      <c r="Q185" s="224">
        <f t="shared" si="40"/>
        <v>0.90635441333124311</v>
      </c>
      <c r="R185" s="106">
        <f t="shared" si="41"/>
        <v>1.688250717942315</v>
      </c>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row>
    <row r="186" spans="1:63">
      <c r="A186" s="16"/>
      <c r="B186" s="38">
        <v>85</v>
      </c>
      <c r="C186" s="61">
        <v>24.1</v>
      </c>
      <c r="D186" s="38" t="s">
        <v>481</v>
      </c>
      <c r="E186" s="38">
        <v>400.3</v>
      </c>
      <c r="F186" s="38">
        <v>390.6</v>
      </c>
      <c r="G186" s="38">
        <v>24.15</v>
      </c>
      <c r="H186" s="38">
        <v>14.83</v>
      </c>
      <c r="I186" s="61">
        <v>120</v>
      </c>
      <c r="J186" s="38">
        <v>2893</v>
      </c>
      <c r="K186" s="55"/>
      <c r="L186" s="135">
        <f t="shared" si="35"/>
        <v>171.29287587978172</v>
      </c>
      <c r="M186" s="39">
        <f t="shared" si="36"/>
        <v>6027.8224220268648</v>
      </c>
      <c r="N186" s="63">
        <f t="shared" si="37"/>
        <v>156.35718000000003</v>
      </c>
      <c r="O186" s="63">
        <f t="shared" si="38"/>
        <v>145.57191149194878</v>
      </c>
      <c r="P186" s="287">
        <f t="shared" si="39"/>
        <v>10.785268508051246</v>
      </c>
      <c r="Q186" s="227">
        <f t="shared" si="40"/>
        <v>0.93102159742167745</v>
      </c>
      <c r="R186" s="106">
        <f t="shared" si="41"/>
        <v>1.6892330751936047</v>
      </c>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row>
    <row r="187" spans="1:63">
      <c r="A187" s="16"/>
      <c r="B187" s="38">
        <v>85</v>
      </c>
      <c r="C187" s="61">
        <v>24.1</v>
      </c>
      <c r="D187" s="38" t="s">
        <v>481</v>
      </c>
      <c r="E187" s="38">
        <v>400.15</v>
      </c>
      <c r="F187" s="38">
        <v>510</v>
      </c>
      <c r="G187" s="38">
        <v>24.15</v>
      </c>
      <c r="H187" s="38">
        <v>19.63</v>
      </c>
      <c r="I187" s="61">
        <v>119.8</v>
      </c>
      <c r="J187" s="38">
        <v>3019</v>
      </c>
      <c r="K187" s="55"/>
      <c r="L187" s="135">
        <f t="shared" si="35"/>
        <v>179.05168330939662</v>
      </c>
      <c r="M187" s="39">
        <f t="shared" si="36"/>
        <v>7974.6196540795772</v>
      </c>
      <c r="N187" s="63">
        <f t="shared" si="37"/>
        <v>204.07650000000001</v>
      </c>
      <c r="O187" s="63">
        <f t="shared" si="38"/>
        <v>192.58706464602179</v>
      </c>
      <c r="P187" s="288">
        <f t="shared" si="39"/>
        <v>11.489435353978223</v>
      </c>
      <c r="Q187" s="230">
        <f t="shared" si="40"/>
        <v>0.94370035082933001</v>
      </c>
      <c r="R187" s="106">
        <f t="shared" si="41"/>
        <v>1.6898663001374485</v>
      </c>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row>
    <row r="188" spans="1:63">
      <c r="A188" s="16"/>
      <c r="B188" s="38">
        <v>85</v>
      </c>
      <c r="C188" s="61">
        <v>24.1</v>
      </c>
      <c r="D188" s="38" t="s">
        <v>481</v>
      </c>
      <c r="E188" s="38">
        <v>400.05</v>
      </c>
      <c r="F188" s="38">
        <v>593.4</v>
      </c>
      <c r="G188" s="38">
        <v>24.15</v>
      </c>
      <c r="H188" s="38">
        <v>22.99</v>
      </c>
      <c r="I188" s="61">
        <v>119.73</v>
      </c>
      <c r="J188" s="38">
        <v>3099</v>
      </c>
      <c r="K188" s="55"/>
      <c r="L188" s="135">
        <f t="shared" si="35"/>
        <v>183.90380164961329</v>
      </c>
      <c r="M188" s="39">
        <f t="shared" si="36"/>
        <v>9336.6795070799653</v>
      </c>
      <c r="N188" s="63">
        <f t="shared" si="37"/>
        <v>237.38967</v>
      </c>
      <c r="O188" s="63">
        <f t="shared" si="38"/>
        <v>225.48081009598116</v>
      </c>
      <c r="P188" s="176">
        <f t="shared" si="39"/>
        <v>11.90885990401884</v>
      </c>
      <c r="Q188" s="233">
        <f t="shared" si="40"/>
        <v>0.94983412755905161</v>
      </c>
      <c r="R188" s="106">
        <f t="shared" si="41"/>
        <v>1.6902887139107612</v>
      </c>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row>
    <row r="189" spans="1:63">
      <c r="A189" s="16"/>
      <c r="B189" s="38">
        <v>85</v>
      </c>
      <c r="C189" s="61">
        <v>24.1</v>
      </c>
      <c r="D189" s="38" t="s">
        <v>481</v>
      </c>
      <c r="E189" s="38">
        <v>399.95</v>
      </c>
      <c r="F189" s="38">
        <v>723.2</v>
      </c>
      <c r="G189" s="38">
        <v>24.15</v>
      </c>
      <c r="H189" s="38">
        <v>28.21</v>
      </c>
      <c r="I189" s="61">
        <v>119.5</v>
      </c>
      <c r="J189" s="38">
        <v>3188</v>
      </c>
      <c r="K189" s="55"/>
      <c r="L189" s="135">
        <f t="shared" si="35"/>
        <v>189.54944656939716</v>
      </c>
      <c r="M189" s="39">
        <f t="shared" si="36"/>
        <v>11451.596229388391</v>
      </c>
      <c r="N189" s="63">
        <f t="shared" si="37"/>
        <v>289.24384000000003</v>
      </c>
      <c r="O189" s="63">
        <f t="shared" si="38"/>
        <v>276.55604893972964</v>
      </c>
      <c r="P189" s="289">
        <f t="shared" si="39"/>
        <v>12.687791060270399</v>
      </c>
      <c r="Q189" s="183">
        <f t="shared" si="40"/>
        <v>0.95613461963348845</v>
      </c>
      <c r="R189" s="106">
        <f t="shared" si="41"/>
        <v>1.6907113389173647</v>
      </c>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row>
    <row r="190" spans="1:63">
      <c r="A190" s="16"/>
      <c r="B190" s="38">
        <v>85</v>
      </c>
      <c r="C190" s="61">
        <v>24.1</v>
      </c>
      <c r="D190" s="38" t="s">
        <v>481</v>
      </c>
      <c r="E190" s="38">
        <v>399.85</v>
      </c>
      <c r="F190" s="38">
        <v>816.6</v>
      </c>
      <c r="G190" s="38">
        <v>24.15</v>
      </c>
      <c r="H190" s="38">
        <v>32</v>
      </c>
      <c r="I190" s="61">
        <v>119.27</v>
      </c>
      <c r="J190" s="38">
        <v>3260</v>
      </c>
      <c r="K190" s="55"/>
      <c r="L190" s="135">
        <f t="shared" si="35"/>
        <v>194.20414458775213</v>
      </c>
      <c r="M190" s="39">
        <f t="shared" si="36"/>
        <v>12986.269612095699</v>
      </c>
      <c r="N190" s="63">
        <f t="shared" si="37"/>
        <v>326.51751000000002</v>
      </c>
      <c r="O190" s="63">
        <f t="shared" si="38"/>
        <v>313.61841113211108</v>
      </c>
      <c r="P190" s="290">
        <f t="shared" si="39"/>
        <v>12.899098867888938</v>
      </c>
      <c r="Q190" s="291">
        <f t="shared" si="40"/>
        <v>0.96049492455124708</v>
      </c>
      <c r="R190" s="106">
        <f t="shared" si="41"/>
        <v>1.6911341753157432</v>
      </c>
      <c r="S190" s="18">
        <v>5</v>
      </c>
      <c r="T190" s="18">
        <v>69</v>
      </c>
      <c r="U190" s="18">
        <v>72</v>
      </c>
      <c r="V190" s="18">
        <v>76</v>
      </c>
      <c r="W190" s="18">
        <v>77</v>
      </c>
      <c r="X190" s="18">
        <v>81</v>
      </c>
      <c r="Y190" s="18">
        <v>105</v>
      </c>
      <c r="Z190" s="18">
        <v>70</v>
      </c>
      <c r="AA190" s="18">
        <v>94</v>
      </c>
      <c r="AB190" s="16"/>
      <c r="AC190" s="18">
        <v>23.5</v>
      </c>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row>
    <row r="191" spans="1:63">
      <c r="A191" s="16" t="s">
        <v>568</v>
      </c>
      <c r="B191" s="38">
        <v>85</v>
      </c>
      <c r="C191" s="61">
        <v>24.1</v>
      </c>
      <c r="D191" s="38" t="s">
        <v>481</v>
      </c>
      <c r="E191" s="38">
        <v>399.85</v>
      </c>
      <c r="F191" s="38">
        <v>815.6</v>
      </c>
      <c r="G191" s="38">
        <v>24.11</v>
      </c>
      <c r="H191" s="38">
        <v>31.91</v>
      </c>
      <c r="I191" s="61">
        <v>119.3</v>
      </c>
      <c r="J191" s="38">
        <v>3252</v>
      </c>
      <c r="K191" s="55"/>
      <c r="L191" s="135">
        <f t="shared" si="35"/>
        <v>193.67885393023425</v>
      </c>
      <c r="M191" s="39">
        <f t="shared" si="36"/>
        <v>12949.834660935052</v>
      </c>
      <c r="N191" s="63">
        <f t="shared" si="37"/>
        <v>326.11766000000006</v>
      </c>
      <c r="O191" s="63">
        <f t="shared" si="38"/>
        <v>312.2205136751441</v>
      </c>
      <c r="P191" s="231">
        <f t="shared" si="39"/>
        <v>13.897146324855953</v>
      </c>
      <c r="Q191" s="236">
        <f t="shared" si="40"/>
        <v>0.95738609701524302</v>
      </c>
      <c r="R191" s="106">
        <f t="shared" si="41"/>
        <v>1.6883331249218456</v>
      </c>
      <c r="S191" s="18">
        <v>6</v>
      </c>
      <c r="T191" s="18">
        <v>40</v>
      </c>
      <c r="U191" s="18">
        <v>41</v>
      </c>
      <c r="V191" s="18">
        <v>39</v>
      </c>
      <c r="W191" s="18">
        <v>44</v>
      </c>
      <c r="X191" s="18">
        <v>46</v>
      </c>
      <c r="Y191" s="18">
        <v>66</v>
      </c>
      <c r="Z191" s="18">
        <v>40</v>
      </c>
      <c r="AA191" s="18">
        <v>63</v>
      </c>
      <c r="AB191" s="16"/>
      <c r="AC191" s="18">
        <v>23.5</v>
      </c>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row>
    <row r="192" spans="1:63">
      <c r="A192" s="16"/>
      <c r="B192" s="38">
        <v>85</v>
      </c>
      <c r="C192" s="61">
        <v>24.1</v>
      </c>
      <c r="D192" s="38" t="s">
        <v>481</v>
      </c>
      <c r="E192" s="38">
        <v>399.8</v>
      </c>
      <c r="F192" s="38">
        <v>918.4</v>
      </c>
      <c r="G192" s="38">
        <v>24.11</v>
      </c>
      <c r="H192" s="38">
        <v>36</v>
      </c>
      <c r="I192" s="61">
        <v>119.3</v>
      </c>
      <c r="J192" s="38">
        <v>3347</v>
      </c>
      <c r="K192" s="55"/>
      <c r="L192" s="135">
        <f t="shared" si="35"/>
        <v>199.33675402967225</v>
      </c>
      <c r="M192" s="39">
        <f t="shared" si="36"/>
        <v>14605.184155306561</v>
      </c>
      <c r="N192" s="63">
        <f t="shared" si="37"/>
        <v>367.17632000000003</v>
      </c>
      <c r="O192" s="63">
        <f t="shared" si="38"/>
        <v>352.13098998444116</v>
      </c>
      <c r="P192" s="292">
        <f t="shared" si="39"/>
        <v>15.045330015558875</v>
      </c>
      <c r="Q192" s="239">
        <f t="shared" si="40"/>
        <v>0.9590242365968511</v>
      </c>
      <c r="R192" s="106">
        <f t="shared" si="41"/>
        <v>1.6885442721360679</v>
      </c>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row>
    <row r="193" spans="1:63">
      <c r="A193" s="16"/>
      <c r="B193" s="38">
        <v>85</v>
      </c>
      <c r="C193" s="61">
        <v>24.1</v>
      </c>
      <c r="D193" s="38" t="s">
        <v>481</v>
      </c>
      <c r="E193" s="38">
        <v>399.6</v>
      </c>
      <c r="F193" s="38">
        <v>1215.3</v>
      </c>
      <c r="G193" s="38">
        <v>24.11</v>
      </c>
      <c r="H193" s="38">
        <v>47.94</v>
      </c>
      <c r="I193" s="61">
        <v>118.6</v>
      </c>
      <c r="J193" s="38">
        <v>3710</v>
      </c>
      <c r="K193" s="55"/>
      <c r="L193" s="135">
        <f t="shared" si="35"/>
        <v>222.26001222255618</v>
      </c>
      <c r="M193" s="39">
        <f t="shared" si="36"/>
        <v>19432.797335730975</v>
      </c>
      <c r="N193" s="63">
        <f t="shared" si="37"/>
        <v>485.63387999999998</v>
      </c>
      <c r="O193" s="63">
        <f t="shared" si="38"/>
        <v>468.52474376447378</v>
      </c>
      <c r="P193" s="293">
        <f t="shared" si="39"/>
        <v>17.109136235526194</v>
      </c>
      <c r="Q193" s="242">
        <f t="shared" si="40"/>
        <v>0.96476947564793836</v>
      </c>
      <c r="R193" s="106">
        <f t="shared" si="41"/>
        <v>1.6893893893893894</v>
      </c>
      <c r="S193" s="18">
        <v>2</v>
      </c>
      <c r="T193" s="16"/>
      <c r="U193" s="16"/>
      <c r="V193" s="16"/>
      <c r="W193" s="18">
        <v>59</v>
      </c>
      <c r="X193" s="18">
        <v>60</v>
      </c>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row>
    <row r="194" spans="1:63">
      <c r="A194" s="16"/>
      <c r="B194" s="38">
        <v>85</v>
      </c>
      <c r="C194" s="61">
        <v>24.1</v>
      </c>
      <c r="D194" s="38" t="s">
        <v>481</v>
      </c>
      <c r="E194" s="38">
        <v>399.55</v>
      </c>
      <c r="F194" s="38">
        <v>1358.3</v>
      </c>
      <c r="G194" s="38">
        <v>24.11</v>
      </c>
      <c r="H194" s="38">
        <v>53.65</v>
      </c>
      <c r="I194" s="61">
        <v>118.3</v>
      </c>
      <c r="J194" s="38">
        <v>3910</v>
      </c>
      <c r="K194" s="55"/>
      <c r="L194" s="135">
        <f t="shared" si="35"/>
        <v>234.83570352663881</v>
      </c>
      <c r="M194" s="39">
        <f t="shared" si="36"/>
        <v>21738.913545500218</v>
      </c>
      <c r="N194" s="63">
        <f t="shared" si="37"/>
        <v>542.70876499999997</v>
      </c>
      <c r="O194" s="63">
        <f t="shared" si="38"/>
        <v>524.12520558201027</v>
      </c>
      <c r="P194" s="294">
        <f t="shared" si="39"/>
        <v>18.583559417989704</v>
      </c>
      <c r="Q194" s="244">
        <f t="shared" si="40"/>
        <v>0.965757768039752</v>
      </c>
      <c r="R194" s="106">
        <f t="shared" si="41"/>
        <v>1.6896008009010135</v>
      </c>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row>
    <row r="195" spans="1:63">
      <c r="A195" s="16"/>
      <c r="B195" s="38">
        <v>85</v>
      </c>
      <c r="C195" s="61">
        <v>24.1</v>
      </c>
      <c r="D195" s="38" t="s">
        <v>481</v>
      </c>
      <c r="E195" s="38">
        <v>399.45</v>
      </c>
      <c r="F195" s="38">
        <v>1496.7</v>
      </c>
      <c r="G195" s="38">
        <v>24.11</v>
      </c>
      <c r="H195" s="38">
        <v>59.13</v>
      </c>
      <c r="I195" s="61">
        <v>118</v>
      </c>
      <c r="J195" s="38">
        <v>4126</v>
      </c>
      <c r="K195" s="55"/>
      <c r="L195" s="135">
        <f t="shared" si="35"/>
        <v>248.43874666962785</v>
      </c>
      <c r="M195" s="39">
        <f t="shared" si="36"/>
        <v>23950.577320038046</v>
      </c>
      <c r="N195" s="63">
        <f t="shared" si="37"/>
        <v>597.85681499999998</v>
      </c>
      <c r="O195" s="63">
        <f t="shared" si="38"/>
        <v>577.44841918611723</v>
      </c>
      <c r="P195" s="295">
        <f t="shared" si="39"/>
        <v>20.408395813882748</v>
      </c>
      <c r="Q195" s="244">
        <f t="shared" si="40"/>
        <v>0.96586407430367294</v>
      </c>
      <c r="R195" s="106">
        <f t="shared" si="41"/>
        <v>1.6900237827012141</v>
      </c>
      <c r="S195" s="18">
        <v>2</v>
      </c>
      <c r="T195" s="18">
        <v>47</v>
      </c>
      <c r="U195" s="18">
        <v>49</v>
      </c>
      <c r="V195" s="18">
        <v>48</v>
      </c>
      <c r="W195" s="18">
        <v>77</v>
      </c>
      <c r="X195" s="18">
        <v>77</v>
      </c>
      <c r="Y195" s="18">
        <v>67</v>
      </c>
      <c r="Z195" s="18">
        <v>65</v>
      </c>
      <c r="AA195" s="18">
        <v>71</v>
      </c>
      <c r="AB195" s="16"/>
      <c r="AC195" s="18">
        <v>24</v>
      </c>
      <c r="AD195" s="16"/>
      <c r="AE195" s="16"/>
      <c r="AF195" s="18">
        <v>59</v>
      </c>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row>
    <row r="196" spans="1:63">
      <c r="A196" s="16"/>
      <c r="B196" s="38">
        <v>85</v>
      </c>
      <c r="C196" s="61">
        <v>24.1</v>
      </c>
      <c r="D196" s="38" t="s">
        <v>481</v>
      </c>
      <c r="E196" s="38">
        <v>399.35</v>
      </c>
      <c r="F196" s="38">
        <v>1624.4</v>
      </c>
      <c r="G196" s="38">
        <v>24.11</v>
      </c>
      <c r="H196" s="38">
        <v>64.2</v>
      </c>
      <c r="I196" s="61">
        <v>117.8</v>
      </c>
      <c r="J196" s="38">
        <v>4339</v>
      </c>
      <c r="K196" s="55"/>
      <c r="L196" s="135">
        <f t="shared" si="35"/>
        <v>261.70768329937772</v>
      </c>
      <c r="M196" s="39">
        <f t="shared" si="36"/>
        <v>25995.407775602802</v>
      </c>
      <c r="N196" s="63">
        <f t="shared" si="37"/>
        <v>648.70414000000017</v>
      </c>
      <c r="O196" s="63">
        <f t="shared" si="38"/>
        <v>626.74928146978357</v>
      </c>
      <c r="P196" s="296">
        <f t="shared" si="39"/>
        <v>21.954858530216598</v>
      </c>
      <c r="Q196" s="246">
        <f t="shared" si="40"/>
        <v>0.96615582177382653</v>
      </c>
      <c r="R196" s="106">
        <f t="shared" si="41"/>
        <v>1.6904469763365468</v>
      </c>
      <c r="S196" s="18">
        <v>3</v>
      </c>
      <c r="T196" s="18">
        <v>47</v>
      </c>
      <c r="U196" s="18">
        <v>51</v>
      </c>
      <c r="V196" s="18">
        <v>48</v>
      </c>
      <c r="W196" s="18">
        <v>88</v>
      </c>
      <c r="X196" s="18">
        <v>86</v>
      </c>
      <c r="Y196" s="18">
        <v>72</v>
      </c>
      <c r="Z196" s="18">
        <v>74</v>
      </c>
      <c r="AA196" s="18">
        <v>77</v>
      </c>
      <c r="AB196" s="16"/>
      <c r="AC196" s="18">
        <v>24</v>
      </c>
      <c r="AD196" s="16"/>
      <c r="AE196" s="16"/>
      <c r="AF196" s="18">
        <v>66</v>
      </c>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row>
    <row r="197" spans="1:63">
      <c r="A197" s="16"/>
      <c r="B197" s="38">
        <v>85</v>
      </c>
      <c r="C197" s="61">
        <v>24.1</v>
      </c>
      <c r="D197" s="38" t="s">
        <v>481</v>
      </c>
      <c r="E197" s="38">
        <v>399.35</v>
      </c>
      <c r="F197" s="38">
        <v>1766.7</v>
      </c>
      <c r="G197" s="38">
        <v>24.11</v>
      </c>
      <c r="H197" s="38">
        <v>69.900000000000006</v>
      </c>
      <c r="I197" s="61">
        <v>117.5</v>
      </c>
      <c r="J197" s="38">
        <v>4592</v>
      </c>
      <c r="K197" s="55"/>
      <c r="L197" s="135">
        <f t="shared" si="35"/>
        <v>277.67458156458332</v>
      </c>
      <c r="M197" s="39">
        <f t="shared" si="36"/>
        <v>28292.766273320238</v>
      </c>
      <c r="N197" s="63">
        <f t="shared" si="37"/>
        <v>705.53164500000003</v>
      </c>
      <c r="O197" s="63">
        <f t="shared" si="38"/>
        <v>682.13859484975092</v>
      </c>
      <c r="P197" s="297">
        <f t="shared" si="39"/>
        <v>23.39305015024911</v>
      </c>
      <c r="Q197" s="249">
        <f t="shared" si="40"/>
        <v>0.96684337220586458</v>
      </c>
      <c r="R197" s="106">
        <f t="shared" si="41"/>
        <v>1.6904469763365468</v>
      </c>
      <c r="S197" s="18">
        <v>3</v>
      </c>
      <c r="T197" s="18">
        <v>48</v>
      </c>
      <c r="U197" s="18">
        <v>49</v>
      </c>
      <c r="V197" s="18">
        <v>52</v>
      </c>
      <c r="W197" s="18">
        <v>101</v>
      </c>
      <c r="X197" s="18">
        <v>98</v>
      </c>
      <c r="Y197" s="18">
        <v>74</v>
      </c>
      <c r="Z197" s="18">
        <v>81</v>
      </c>
      <c r="AA197" s="18">
        <v>81</v>
      </c>
      <c r="AB197" s="16"/>
      <c r="AC197" s="18">
        <v>24</v>
      </c>
      <c r="AD197" s="16"/>
      <c r="AE197" s="16"/>
      <c r="AF197" s="18">
        <v>75</v>
      </c>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row>
    <row r="198" spans="1:63">
      <c r="A198" s="16" t="s">
        <v>569</v>
      </c>
      <c r="B198" s="38">
        <v>85</v>
      </c>
      <c r="C198" s="61">
        <v>24.1</v>
      </c>
      <c r="D198" s="38" t="s">
        <v>481</v>
      </c>
      <c r="E198" s="38">
        <v>399.35</v>
      </c>
      <c r="F198" s="38">
        <v>1810</v>
      </c>
      <c r="G198" s="38">
        <v>24.114999999999998</v>
      </c>
      <c r="H198" s="38">
        <v>71.599999999999994</v>
      </c>
      <c r="I198" s="61">
        <v>117.4</v>
      </c>
      <c r="J198" s="16"/>
      <c r="K198" s="55"/>
      <c r="L198" s="135">
        <f t="shared" si="35"/>
        <v>0</v>
      </c>
      <c r="M198" s="39">
        <f t="shared" si="36"/>
        <v>28977.62301013825</v>
      </c>
      <c r="N198" s="63">
        <f t="shared" si="37"/>
        <v>722.82349999999997</v>
      </c>
      <c r="O198" s="63">
        <f t="shared" si="38"/>
        <v>698.79537888948391</v>
      </c>
      <c r="P198" s="298">
        <f t="shared" si="39"/>
        <v>24.028121110516054</v>
      </c>
      <c r="Q198" s="249">
        <f t="shared" si="40"/>
        <v>0.96675796911622813</v>
      </c>
      <c r="R198" s="106">
        <f t="shared" si="41"/>
        <v>1.6907975460122697</v>
      </c>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row>
    <row r="199" spans="1:63">
      <c r="A199" s="16"/>
      <c r="B199" s="38">
        <v>85</v>
      </c>
      <c r="C199" s="61">
        <v>24.1</v>
      </c>
      <c r="D199" s="38" t="s">
        <v>481</v>
      </c>
      <c r="E199" s="38">
        <v>399.35</v>
      </c>
      <c r="F199" s="38">
        <v>1841.4</v>
      </c>
      <c r="G199" s="38">
        <v>24.114999999999998</v>
      </c>
      <c r="H199" s="38">
        <v>72.8</v>
      </c>
      <c r="I199" s="61">
        <v>117.4</v>
      </c>
      <c r="J199" s="38">
        <v>4731</v>
      </c>
      <c r="K199" s="55"/>
      <c r="L199" s="135">
        <f t="shared" si="35"/>
        <v>286.32348038138718</v>
      </c>
      <c r="M199" s="39">
        <f t="shared" si="36"/>
        <v>29460.962674180406</v>
      </c>
      <c r="N199" s="63">
        <f t="shared" si="37"/>
        <v>735.36309000000006</v>
      </c>
      <c r="O199" s="63">
        <f t="shared" si="38"/>
        <v>710.45111488786051</v>
      </c>
      <c r="P199" s="299">
        <f t="shared" si="39"/>
        <v>24.911975112139544</v>
      </c>
      <c r="Q199" s="246">
        <f t="shared" si="40"/>
        <v>0.96612289160156306</v>
      </c>
      <c r="R199" s="106">
        <f t="shared" si="41"/>
        <v>1.6907975460122697</v>
      </c>
      <c r="S199" s="18">
        <v>2</v>
      </c>
      <c r="T199" s="18">
        <v>48</v>
      </c>
      <c r="U199" s="18">
        <v>52</v>
      </c>
      <c r="V199" s="18">
        <v>48</v>
      </c>
      <c r="W199" s="18">
        <v>105</v>
      </c>
      <c r="X199" s="18">
        <v>104</v>
      </c>
      <c r="Y199" s="18">
        <v>74</v>
      </c>
      <c r="Z199" s="18">
        <v>85</v>
      </c>
      <c r="AA199" s="18">
        <v>80</v>
      </c>
      <c r="AB199" s="16"/>
      <c r="AC199" s="18">
        <v>24</v>
      </c>
      <c r="AD199" s="16"/>
      <c r="AE199" s="16"/>
      <c r="AF199" s="18">
        <v>78</v>
      </c>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row>
    <row r="200" spans="1:63">
      <c r="A200" s="16" t="s">
        <v>570</v>
      </c>
      <c r="B200" s="38">
        <v>85</v>
      </c>
      <c r="C200" s="61">
        <v>24.1</v>
      </c>
      <c r="D200" s="38" t="s">
        <v>481</v>
      </c>
      <c r="E200" s="38">
        <v>399.3</v>
      </c>
      <c r="F200" s="38">
        <v>1918.1</v>
      </c>
      <c r="G200" s="38">
        <v>24.12</v>
      </c>
      <c r="H200" s="38">
        <v>75.8</v>
      </c>
      <c r="I200" s="61">
        <v>117.2</v>
      </c>
      <c r="J200" s="38">
        <v>4871</v>
      </c>
      <c r="K200" s="55"/>
      <c r="L200" s="135">
        <f t="shared" si="35"/>
        <v>295.2994453165461</v>
      </c>
      <c r="M200" s="39">
        <f t="shared" si="36"/>
        <v>30668.990965978566</v>
      </c>
      <c r="N200" s="63">
        <f t="shared" si="37"/>
        <v>765.89733000000001</v>
      </c>
      <c r="O200" s="63">
        <f t="shared" si="38"/>
        <v>739.73606209940306</v>
      </c>
      <c r="P200" s="300">
        <f t="shared" si="39"/>
        <v>26.161267900596954</v>
      </c>
      <c r="Q200" s="244">
        <f t="shared" si="40"/>
        <v>0.96584233045883972</v>
      </c>
      <c r="R200" s="106">
        <f t="shared" si="41"/>
        <v>1.6913598797896319</v>
      </c>
      <c r="S200" s="18">
        <v>3</v>
      </c>
      <c r="T200" s="18">
        <v>49</v>
      </c>
      <c r="U200" s="18">
        <v>50</v>
      </c>
      <c r="V200" s="18">
        <v>52</v>
      </c>
      <c r="W200" s="18">
        <v>113</v>
      </c>
      <c r="X200" s="18">
        <v>108</v>
      </c>
      <c r="Y200" s="18">
        <v>71</v>
      </c>
      <c r="Z200" s="18">
        <v>86</v>
      </c>
      <c r="AA200" s="18">
        <v>80</v>
      </c>
      <c r="AB200" s="16"/>
      <c r="AC200" s="18">
        <v>22.3</v>
      </c>
      <c r="AD200" s="16"/>
      <c r="AE200" s="16"/>
      <c r="AF200" s="18">
        <v>82</v>
      </c>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row>
    <row r="201" spans="1:63">
      <c r="A201" s="16"/>
      <c r="B201" s="38">
        <v>85</v>
      </c>
      <c r="C201" s="61">
        <v>24.1</v>
      </c>
      <c r="D201" s="38" t="s">
        <v>481</v>
      </c>
      <c r="E201" s="38">
        <v>399.35</v>
      </c>
      <c r="F201" s="16"/>
      <c r="G201" s="38">
        <v>24.11</v>
      </c>
      <c r="H201" s="38">
        <v>76.400000000000006</v>
      </c>
      <c r="I201" s="55"/>
      <c r="J201" s="16"/>
      <c r="K201" s="55"/>
      <c r="L201" s="135" t="e">
        <f t="shared" si="35"/>
        <v>#DIV/0!</v>
      </c>
      <c r="M201" s="39">
        <f t="shared" si="36"/>
        <v>30910.541618342679</v>
      </c>
      <c r="N201" s="63">
        <f t="shared" si="37"/>
        <v>0</v>
      </c>
      <c r="O201" s="63">
        <f t="shared" si="38"/>
        <v>745.25315841824204</v>
      </c>
      <c r="P201" s="149">
        <f t="shared" si="39"/>
        <v>-745.25315841824204</v>
      </c>
      <c r="Q201" s="114" t="e">
        <f t="shared" si="40"/>
        <v>#DIV/0!</v>
      </c>
      <c r="R201" s="106">
        <f t="shared" si="41"/>
        <v>1.6904469763365468</v>
      </c>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row>
    <row r="202" spans="1:63">
      <c r="A202" s="16"/>
      <c r="B202" s="16"/>
      <c r="C202" s="55"/>
      <c r="D202" s="16"/>
      <c r="E202" s="16"/>
      <c r="F202" s="16"/>
      <c r="G202" s="16"/>
      <c r="H202" s="16"/>
      <c r="I202" s="55"/>
      <c r="J202" s="16"/>
      <c r="K202" s="55"/>
      <c r="L202" s="247"/>
      <c r="M202" s="168"/>
      <c r="N202" s="57"/>
      <c r="O202" s="57"/>
      <c r="P202" s="57"/>
      <c r="Q202" s="157"/>
      <c r="R202" s="248"/>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row>
    <row r="203" spans="1:63">
      <c r="A203" s="75" t="s">
        <v>415</v>
      </c>
      <c r="B203" s="47" t="s">
        <v>416</v>
      </c>
      <c r="C203" s="76" t="s">
        <v>21</v>
      </c>
      <c r="D203" s="47" t="s">
        <v>417</v>
      </c>
      <c r="E203" s="47" t="s">
        <v>418</v>
      </c>
      <c r="F203" s="76" t="s">
        <v>419</v>
      </c>
      <c r="G203" s="47" t="s">
        <v>420</v>
      </c>
      <c r="H203" s="77" t="s">
        <v>421</v>
      </c>
      <c r="I203" s="76" t="s">
        <v>422</v>
      </c>
      <c r="J203" s="47" t="s">
        <v>423</v>
      </c>
      <c r="K203" s="76" t="s">
        <v>424</v>
      </c>
      <c r="L203" s="301" t="s">
        <v>425</v>
      </c>
      <c r="M203" s="79" t="s">
        <v>493</v>
      </c>
      <c r="N203" s="57"/>
      <c r="O203" s="79" t="s">
        <v>426</v>
      </c>
      <c r="P203" s="79" t="s">
        <v>427</v>
      </c>
      <c r="Q203" s="79" t="s">
        <v>428</v>
      </c>
      <c r="R203" s="302" t="s">
        <v>430</v>
      </c>
      <c r="S203" s="47" t="s">
        <v>431</v>
      </c>
      <c r="T203" s="47" t="s">
        <v>432</v>
      </c>
      <c r="U203" s="47" t="s">
        <v>433</v>
      </c>
      <c r="V203" s="47" t="s">
        <v>434</v>
      </c>
      <c r="W203" s="75" t="s">
        <v>429</v>
      </c>
      <c r="X203" s="16"/>
      <c r="Y203" s="57"/>
      <c r="Z203" s="57"/>
      <c r="AA203" s="16"/>
      <c r="AB203" s="16"/>
      <c r="AC203" s="16"/>
      <c r="AD203" s="16"/>
      <c r="AE203" s="16"/>
      <c r="AF203" s="16"/>
      <c r="AG203" s="57"/>
      <c r="AH203" s="16"/>
      <c r="AI203" s="16"/>
      <c r="AJ203" s="16"/>
      <c r="AK203" s="16"/>
      <c r="AL203" s="152"/>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row>
    <row r="204" spans="1:63">
      <c r="A204" s="16" t="s">
        <v>571</v>
      </c>
      <c r="B204" s="38">
        <v>306</v>
      </c>
      <c r="C204" s="81">
        <v>45613</v>
      </c>
      <c r="D204" s="82" t="s">
        <v>436</v>
      </c>
      <c r="E204" s="38" t="s">
        <v>437</v>
      </c>
      <c r="F204" s="55" t="s">
        <v>438</v>
      </c>
      <c r="G204" s="38" t="s">
        <v>439</v>
      </c>
      <c r="H204" s="61">
        <v>1000</v>
      </c>
      <c r="I204" s="61" t="s">
        <v>439</v>
      </c>
      <c r="J204" s="38" t="s">
        <v>440</v>
      </c>
      <c r="K204" s="61">
        <v>20.7</v>
      </c>
      <c r="L204" s="135" t="s">
        <v>442</v>
      </c>
      <c r="M204" s="63" t="s">
        <v>494</v>
      </c>
      <c r="N204" s="57"/>
      <c r="O204" s="63" t="s">
        <v>443</v>
      </c>
      <c r="P204" s="63" t="s">
        <v>443</v>
      </c>
      <c r="Q204" s="63" t="s">
        <v>444</v>
      </c>
      <c r="R204" s="106" t="s">
        <v>445</v>
      </c>
      <c r="S204" s="38" t="s">
        <v>446</v>
      </c>
      <c r="T204" s="38" t="s">
        <v>447</v>
      </c>
      <c r="U204" s="38" t="s">
        <v>443</v>
      </c>
      <c r="V204" s="38" t="s">
        <v>449</v>
      </c>
      <c r="W204" s="16" t="s">
        <v>444</v>
      </c>
      <c r="X204" s="16"/>
      <c r="Y204" s="57"/>
      <c r="Z204" s="16"/>
      <c r="AA204" s="16"/>
      <c r="AB204" s="16"/>
      <c r="AC204" s="16"/>
      <c r="AD204" s="16"/>
      <c r="AE204" s="16"/>
      <c r="AF204" s="16"/>
      <c r="AG204" s="57"/>
      <c r="AH204" s="16"/>
      <c r="AI204" s="16"/>
      <c r="AJ204" s="16"/>
      <c r="AK204" s="16"/>
      <c r="AL204" s="152"/>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row>
    <row r="205" spans="1:63">
      <c r="A205" s="124" t="s">
        <v>450</v>
      </c>
      <c r="B205" s="125" t="s">
        <v>451</v>
      </c>
      <c r="C205" s="126" t="s">
        <v>452</v>
      </c>
      <c r="D205" s="125" t="s">
        <v>453</v>
      </c>
      <c r="E205" s="126" t="s">
        <v>454</v>
      </c>
      <c r="F205" s="127" t="s">
        <v>455</v>
      </c>
      <c r="G205" s="125" t="s">
        <v>456</v>
      </c>
      <c r="H205" s="125" t="s">
        <v>457</v>
      </c>
      <c r="I205" s="126" t="s">
        <v>458</v>
      </c>
      <c r="J205" s="125" t="s">
        <v>459</v>
      </c>
      <c r="K205" s="126" t="s">
        <v>572</v>
      </c>
      <c r="L205" s="129" t="s">
        <v>461</v>
      </c>
      <c r="M205" s="129" t="s">
        <v>462</v>
      </c>
      <c r="N205" s="129" t="s">
        <v>463</v>
      </c>
      <c r="O205" s="119" t="s">
        <v>464</v>
      </c>
      <c r="P205" s="119" t="s">
        <v>465</v>
      </c>
      <c r="Q205" s="303" t="s">
        <v>367</v>
      </c>
      <c r="R205" s="119" t="s">
        <v>466</v>
      </c>
      <c r="S205" s="127" t="s">
        <v>467</v>
      </c>
      <c r="T205" s="127" t="s">
        <v>468</v>
      </c>
      <c r="U205" s="125" t="s">
        <v>469</v>
      </c>
      <c r="V205" s="125" t="s">
        <v>470</v>
      </c>
      <c r="W205" s="125" t="s">
        <v>471</v>
      </c>
      <c r="X205" s="125" t="s">
        <v>472</v>
      </c>
      <c r="Y205" s="125" t="s">
        <v>473</v>
      </c>
      <c r="Z205" s="125" t="s">
        <v>474</v>
      </c>
      <c r="AA205" s="125" t="s">
        <v>475</v>
      </c>
      <c r="AB205" s="126" t="s">
        <v>476</v>
      </c>
      <c r="AC205" s="125" t="s">
        <v>496</v>
      </c>
      <c r="AD205" s="125" t="s">
        <v>477</v>
      </c>
      <c r="AE205" s="125" t="s">
        <v>478</v>
      </c>
      <c r="AF205" s="87" t="s">
        <v>495</v>
      </c>
      <c r="AG205" s="16"/>
      <c r="AH205" s="16"/>
      <c r="AI205" s="16"/>
      <c r="AJ205" s="16"/>
      <c r="AK205" s="16"/>
      <c r="AL205" s="152"/>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row>
    <row r="206" spans="1:63">
      <c r="A206" s="16"/>
      <c r="B206" s="38">
        <v>85</v>
      </c>
      <c r="C206" s="61">
        <v>24.1</v>
      </c>
      <c r="D206" s="38" t="s">
        <v>481</v>
      </c>
      <c r="E206" s="38">
        <v>501.9</v>
      </c>
      <c r="F206" s="38">
        <v>20</v>
      </c>
      <c r="G206" s="38">
        <v>24.15</v>
      </c>
      <c r="H206" s="38">
        <v>0.12</v>
      </c>
      <c r="I206" s="61">
        <v>147.9</v>
      </c>
      <c r="J206" s="38">
        <v>2065</v>
      </c>
      <c r="K206" s="23">
        <f t="shared" ref="K206:K224" si="42">J206*I206*1000*166*10^-6/1000</f>
        <v>50.698640999999995</v>
      </c>
      <c r="L206" s="135">
        <f t="shared" ref="L206:L244" si="43">(J206/1000)*1/(2*PI()*0.0000000224*I206*1000)</f>
        <v>99.202814849791068</v>
      </c>
      <c r="M206" s="39">
        <f t="shared" ref="M206:M244" si="44">(0.00561673546297382+ 0.406460306032157*H206
    -0.0000254657386682608*H206*H206)*1000</f>
        <v>54.391605480195835</v>
      </c>
      <c r="N206" s="63">
        <f t="shared" ref="N206:N244" si="45">E206*F206/1000</f>
        <v>10.038</v>
      </c>
      <c r="O206" s="63">
        <f t="shared" ref="O206:O244" si="46">M206*G206/1000</f>
        <v>1.3135572723467295</v>
      </c>
      <c r="P206" s="165">
        <f t="shared" ref="P206:P244" si="47">N206-O206</f>
        <v>8.7244427276532708</v>
      </c>
      <c r="Q206" s="114">
        <f t="shared" ref="Q206:Q244" si="48">O206/N206</f>
        <v>0.13085846506741677</v>
      </c>
      <c r="R206" s="106">
        <f t="shared" ref="R206:R244" si="49">28/2*(1/((E206/G206)*0.5))</f>
        <v>1.3472803347280333</v>
      </c>
      <c r="S206" s="18">
        <v>15</v>
      </c>
      <c r="T206" s="18">
        <v>56</v>
      </c>
      <c r="U206" s="18">
        <v>58</v>
      </c>
      <c r="V206" s="18">
        <v>58</v>
      </c>
      <c r="W206" s="18">
        <v>47</v>
      </c>
      <c r="X206" s="18">
        <v>54</v>
      </c>
      <c r="Y206" s="18">
        <v>79</v>
      </c>
      <c r="Z206" s="18">
        <v>46</v>
      </c>
      <c r="AA206" s="18">
        <v>70</v>
      </c>
      <c r="AB206" s="18">
        <v>72</v>
      </c>
      <c r="AC206" s="16"/>
      <c r="AD206" s="16"/>
      <c r="AE206" s="16" t="s">
        <v>567</v>
      </c>
      <c r="AF206" s="16" t="s">
        <v>567</v>
      </c>
      <c r="AG206" s="16"/>
      <c r="AH206" s="16"/>
      <c r="AI206" s="16"/>
      <c r="AJ206" s="16"/>
      <c r="AK206" s="152"/>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row>
    <row r="207" spans="1:63">
      <c r="A207" s="16"/>
      <c r="B207" s="38">
        <v>85</v>
      </c>
      <c r="C207" s="61">
        <v>24.1</v>
      </c>
      <c r="D207" s="38" t="s">
        <v>481</v>
      </c>
      <c r="E207" s="38">
        <v>501.85</v>
      </c>
      <c r="F207" s="38">
        <v>47.6</v>
      </c>
      <c r="G207" s="38">
        <v>24.15</v>
      </c>
      <c r="H207" s="38">
        <v>1.5</v>
      </c>
      <c r="I207" s="61">
        <v>144.9</v>
      </c>
      <c r="J207" s="38">
        <v>2182</v>
      </c>
      <c r="K207" s="23">
        <f t="shared" si="42"/>
        <v>52.484518799999996</v>
      </c>
      <c r="L207" s="135">
        <f t="shared" si="43"/>
        <v>106.99376596745157</v>
      </c>
      <c r="M207" s="39">
        <f t="shared" si="44"/>
        <v>615.24989659920573</v>
      </c>
      <c r="N207" s="63">
        <f t="shared" si="45"/>
        <v>23.888060000000003</v>
      </c>
      <c r="O207" s="63">
        <f t="shared" si="46"/>
        <v>14.858285002870819</v>
      </c>
      <c r="P207" s="146">
        <f t="shared" si="47"/>
        <v>9.0297749971291843</v>
      </c>
      <c r="Q207" s="114">
        <f t="shared" si="48"/>
        <v>0.62199630287561303</v>
      </c>
      <c r="R207" s="106">
        <f t="shared" si="49"/>
        <v>1.3474145661054098</v>
      </c>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row>
    <row r="208" spans="1:63">
      <c r="A208" s="16"/>
      <c r="B208" s="38">
        <v>85</v>
      </c>
      <c r="C208" s="61">
        <v>24.1</v>
      </c>
      <c r="D208" s="38" t="s">
        <v>481</v>
      </c>
      <c r="E208" s="38">
        <v>501.8</v>
      </c>
      <c r="F208" s="38">
        <v>74.900000000000006</v>
      </c>
      <c r="G208" s="38">
        <v>24.15</v>
      </c>
      <c r="H208" s="38">
        <v>2.87</v>
      </c>
      <c r="I208" s="61">
        <v>143.5</v>
      </c>
      <c r="J208" s="38">
        <v>2258</v>
      </c>
      <c r="K208" s="23">
        <f t="shared" si="42"/>
        <v>53.787818000000001</v>
      </c>
      <c r="L208" s="135">
        <f t="shared" si="43"/>
        <v>111.80060400121319</v>
      </c>
      <c r="M208" s="39">
        <f t="shared" si="44"/>
        <v>1171.9480550324279</v>
      </c>
      <c r="N208" s="63">
        <f t="shared" si="45"/>
        <v>37.584820000000008</v>
      </c>
      <c r="O208" s="63">
        <f t="shared" si="46"/>
        <v>28.302545529033129</v>
      </c>
      <c r="P208" s="154">
        <f t="shared" si="47"/>
        <v>9.282274470966879</v>
      </c>
      <c r="Q208" s="114">
        <f t="shared" si="48"/>
        <v>0.75303129106466715</v>
      </c>
      <c r="R208" s="106">
        <f t="shared" si="49"/>
        <v>1.347548824232762</v>
      </c>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row>
    <row r="209" spans="1:63">
      <c r="A209" s="16"/>
      <c r="B209" s="38">
        <v>85</v>
      </c>
      <c r="C209" s="61">
        <v>24.1</v>
      </c>
      <c r="D209" s="38" t="s">
        <v>481</v>
      </c>
      <c r="E209" s="38">
        <v>501.8</v>
      </c>
      <c r="F209" s="38">
        <v>102.5</v>
      </c>
      <c r="G209" s="38">
        <v>24.15</v>
      </c>
      <c r="H209" s="38">
        <v>4.26</v>
      </c>
      <c r="I209" s="61">
        <v>142.6</v>
      </c>
      <c r="J209" s="38">
        <v>2321</v>
      </c>
      <c r="K209" s="23">
        <f t="shared" si="42"/>
        <v>54.941783599999994</v>
      </c>
      <c r="L209" s="135">
        <f t="shared" si="43"/>
        <v>115.64523107727945</v>
      </c>
      <c r="M209" s="39">
        <f t="shared" si="44"/>
        <v>1736.6754971209066</v>
      </c>
      <c r="N209" s="63">
        <f t="shared" si="45"/>
        <v>51.4345</v>
      </c>
      <c r="O209" s="63">
        <f t="shared" si="46"/>
        <v>41.940713255469888</v>
      </c>
      <c r="P209" s="218">
        <f t="shared" si="47"/>
        <v>9.4937867445301123</v>
      </c>
      <c r="Q209" s="114">
        <f t="shared" si="48"/>
        <v>0.81541986906589714</v>
      </c>
      <c r="R209" s="106">
        <f t="shared" si="49"/>
        <v>1.347548824232762</v>
      </c>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row>
    <row r="210" spans="1:63">
      <c r="A210" s="16"/>
      <c r="B210" s="38">
        <v>85</v>
      </c>
      <c r="C210" s="61">
        <v>24.1</v>
      </c>
      <c r="D210" s="38" t="s">
        <v>481</v>
      </c>
      <c r="E210" s="38">
        <v>501.55</v>
      </c>
      <c r="F210" s="38">
        <v>159.30000000000001</v>
      </c>
      <c r="G210" s="38">
        <v>24.15</v>
      </c>
      <c r="H210" s="38">
        <v>7.12</v>
      </c>
      <c r="I210" s="61">
        <v>141.4</v>
      </c>
      <c r="J210" s="38">
        <v>2431</v>
      </c>
      <c r="K210" s="23">
        <f t="shared" si="42"/>
        <v>57.061404400000001</v>
      </c>
      <c r="L210" s="135">
        <f t="shared" si="43"/>
        <v>122.15399154387173</v>
      </c>
      <c r="M210" s="39">
        <f t="shared" si="44"/>
        <v>2898.3231440695872</v>
      </c>
      <c r="N210" s="63">
        <f t="shared" si="45"/>
        <v>79.896915000000007</v>
      </c>
      <c r="O210" s="63">
        <f t="shared" si="46"/>
        <v>69.994503929280526</v>
      </c>
      <c r="P210" s="192">
        <f t="shared" si="47"/>
        <v>9.9024110707194808</v>
      </c>
      <c r="Q210" s="114">
        <f t="shared" si="48"/>
        <v>0.87606015738255372</v>
      </c>
      <c r="R210" s="106">
        <f t="shared" si="49"/>
        <v>1.3482205163991623</v>
      </c>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row>
    <row r="211" spans="1:63">
      <c r="A211" s="16"/>
      <c r="B211" s="38">
        <v>85</v>
      </c>
      <c r="C211" s="61">
        <v>24.1</v>
      </c>
      <c r="D211" s="38" t="s">
        <v>481</v>
      </c>
      <c r="E211" s="38">
        <v>501.45</v>
      </c>
      <c r="F211" s="38">
        <v>217.9</v>
      </c>
      <c r="G211" s="38">
        <v>24.15</v>
      </c>
      <c r="H211" s="38">
        <v>10.06</v>
      </c>
      <c r="I211" s="61">
        <v>140.6</v>
      </c>
      <c r="J211" s="38">
        <v>2532</v>
      </c>
      <c r="K211" s="23">
        <f t="shared" si="42"/>
        <v>59.095867200000001</v>
      </c>
      <c r="L211" s="135">
        <f t="shared" si="43"/>
        <v>127.95300621973396</v>
      </c>
      <c r="M211" s="39">
        <f t="shared" si="44"/>
        <v>4092.0301897165859</v>
      </c>
      <c r="N211" s="63">
        <f t="shared" si="45"/>
        <v>109.26595500000001</v>
      </c>
      <c r="O211" s="63">
        <f t="shared" si="46"/>
        <v>98.822529081655546</v>
      </c>
      <c r="P211" s="203">
        <f t="shared" si="47"/>
        <v>10.44342591834446</v>
      </c>
      <c r="Q211" s="250">
        <f t="shared" si="48"/>
        <v>0.90442195907824663</v>
      </c>
      <c r="R211" s="106">
        <f t="shared" si="49"/>
        <v>1.3484893807956924</v>
      </c>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row>
    <row r="212" spans="1:63">
      <c r="A212" s="16"/>
      <c r="B212" s="38">
        <v>85</v>
      </c>
      <c r="C212" s="61">
        <v>24.1</v>
      </c>
      <c r="D212" s="38" t="s">
        <v>481</v>
      </c>
      <c r="E212" s="38">
        <v>501.25</v>
      </c>
      <c r="F212" s="38">
        <v>311.3</v>
      </c>
      <c r="G212" s="38">
        <v>24.15</v>
      </c>
      <c r="H212" s="38">
        <v>14.77</v>
      </c>
      <c r="I212" s="61">
        <v>139.80000000000001</v>
      </c>
      <c r="J212" s="38">
        <v>2676</v>
      </c>
      <c r="K212" s="23">
        <f t="shared" si="42"/>
        <v>62.101396800000003</v>
      </c>
      <c r="L212" s="135">
        <f t="shared" si="43"/>
        <v>136.00380253484312</v>
      </c>
      <c r="M212" s="39">
        <f t="shared" si="44"/>
        <v>6003.4800308168096</v>
      </c>
      <c r="N212" s="63">
        <f t="shared" si="45"/>
        <v>156.03912500000001</v>
      </c>
      <c r="O212" s="63">
        <f t="shared" si="46"/>
        <v>144.98404274422595</v>
      </c>
      <c r="P212" s="158">
        <f t="shared" si="47"/>
        <v>11.055082255774067</v>
      </c>
      <c r="Q212" s="252">
        <f t="shared" si="48"/>
        <v>0.92915185690913049</v>
      </c>
      <c r="R212" s="106">
        <f t="shared" si="49"/>
        <v>1.3490274314214461</v>
      </c>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row>
    <row r="213" spans="1:63">
      <c r="A213" s="16"/>
      <c r="B213" s="38">
        <v>85</v>
      </c>
      <c r="C213" s="61">
        <v>24.1</v>
      </c>
      <c r="D213" s="38" t="s">
        <v>481</v>
      </c>
      <c r="E213" s="38">
        <v>501.15</v>
      </c>
      <c r="F213" s="38">
        <v>373.9</v>
      </c>
      <c r="G213" s="38">
        <v>24.15</v>
      </c>
      <c r="H213" s="38">
        <v>17.93</v>
      </c>
      <c r="I213" s="61">
        <v>139.4</v>
      </c>
      <c r="J213" s="38">
        <v>2763</v>
      </c>
      <c r="K213" s="23">
        <f t="shared" si="42"/>
        <v>63.936925199999997</v>
      </c>
      <c r="L213" s="135">
        <f t="shared" si="43"/>
        <v>140.82839329361383</v>
      </c>
      <c r="M213" s="39">
        <f t="shared" si="44"/>
        <v>7285.2631721703565</v>
      </c>
      <c r="N213" s="63">
        <f t="shared" si="45"/>
        <v>187.37998499999998</v>
      </c>
      <c r="O213" s="63">
        <f t="shared" si="46"/>
        <v>175.93910560791409</v>
      </c>
      <c r="P213" s="304">
        <f t="shared" si="47"/>
        <v>11.44087939208589</v>
      </c>
      <c r="Q213" s="254">
        <f t="shared" si="48"/>
        <v>0.93894289514386564</v>
      </c>
      <c r="R213" s="106">
        <f t="shared" si="49"/>
        <v>1.3492966177791081</v>
      </c>
      <c r="S213" s="18">
        <v>3</v>
      </c>
      <c r="T213" s="18">
        <v>65</v>
      </c>
      <c r="U213" s="18">
        <v>68</v>
      </c>
      <c r="V213" s="18">
        <v>67</v>
      </c>
      <c r="W213" s="18">
        <v>61</v>
      </c>
      <c r="X213" s="18">
        <v>67</v>
      </c>
      <c r="Y213" s="18">
        <v>96</v>
      </c>
      <c r="Z213" s="18">
        <v>58</v>
      </c>
      <c r="AA213" s="18">
        <v>87</v>
      </c>
      <c r="AB213" s="18">
        <v>84</v>
      </c>
      <c r="AC213" s="18">
        <v>55</v>
      </c>
      <c r="AD213" s="18">
        <v>23</v>
      </c>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row>
    <row r="214" spans="1:63">
      <c r="A214" s="16"/>
      <c r="B214" s="38">
        <v>85</v>
      </c>
      <c r="C214" s="61">
        <v>24.1</v>
      </c>
      <c r="D214" s="38" t="s">
        <v>481</v>
      </c>
      <c r="E214" s="38">
        <v>501.1</v>
      </c>
      <c r="F214" s="38">
        <v>470.2</v>
      </c>
      <c r="G214" s="38">
        <v>24.16</v>
      </c>
      <c r="H214" s="38">
        <v>22.81</v>
      </c>
      <c r="I214" s="61">
        <v>139</v>
      </c>
      <c r="J214" s="38">
        <v>2869</v>
      </c>
      <c r="K214" s="23">
        <f t="shared" si="42"/>
        <v>66.199305999999993</v>
      </c>
      <c r="L214" s="135">
        <f t="shared" si="43"/>
        <v>146.65195649108676</v>
      </c>
      <c r="M214" s="39">
        <f t="shared" si="44"/>
        <v>9263.7265915437602</v>
      </c>
      <c r="N214" s="63">
        <f t="shared" si="45"/>
        <v>235.61722</v>
      </c>
      <c r="O214" s="63">
        <f t="shared" si="46"/>
        <v>223.81163445169727</v>
      </c>
      <c r="P214" s="305">
        <f t="shared" si="47"/>
        <v>11.80558554830273</v>
      </c>
      <c r="Q214" s="255">
        <f t="shared" si="48"/>
        <v>0.9498950647652038</v>
      </c>
      <c r="R214" s="106">
        <f t="shared" si="49"/>
        <v>1.3499900219517063</v>
      </c>
      <c r="S214" s="18">
        <v>5</v>
      </c>
      <c r="T214" s="16"/>
      <c r="U214" s="16"/>
      <c r="V214" s="16"/>
      <c r="W214" s="16"/>
      <c r="X214" s="16"/>
      <c r="Y214" s="16"/>
      <c r="Z214" s="16"/>
      <c r="AA214" s="16"/>
      <c r="AB214" s="18">
        <v>96</v>
      </c>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row>
    <row r="215" spans="1:63">
      <c r="A215" s="16"/>
      <c r="B215" s="38">
        <v>85</v>
      </c>
      <c r="C215" s="61">
        <v>24.1</v>
      </c>
      <c r="D215" s="38" t="s">
        <v>481</v>
      </c>
      <c r="E215" s="38">
        <v>500.85</v>
      </c>
      <c r="F215" s="38">
        <v>645.79999999999995</v>
      </c>
      <c r="G215" s="38">
        <v>24.16</v>
      </c>
      <c r="H215" s="38">
        <v>31.66</v>
      </c>
      <c r="I215" s="61">
        <v>138.69999999999999</v>
      </c>
      <c r="J215" s="38">
        <v>3009</v>
      </c>
      <c r="K215" s="23">
        <f t="shared" si="42"/>
        <v>69.279817799999989</v>
      </c>
      <c r="L215" s="135">
        <f t="shared" si="43"/>
        <v>154.14088209506423</v>
      </c>
      <c r="M215" s="39">
        <f t="shared" si="44"/>
        <v>12848.624298678797</v>
      </c>
      <c r="N215" s="63">
        <f t="shared" si="45"/>
        <v>323.44893000000002</v>
      </c>
      <c r="O215" s="63">
        <f t="shared" si="46"/>
        <v>310.42276305607976</v>
      </c>
      <c r="P215" s="306">
        <f t="shared" si="47"/>
        <v>13.026166943920259</v>
      </c>
      <c r="Q215" s="307">
        <f t="shared" si="48"/>
        <v>0.9597272838592471</v>
      </c>
      <c r="R215" s="106">
        <f t="shared" si="49"/>
        <v>1.3506638714185883</v>
      </c>
      <c r="S215" s="18">
        <v>5</v>
      </c>
      <c r="T215" s="18">
        <v>71</v>
      </c>
      <c r="U215" s="18">
        <v>74</v>
      </c>
      <c r="V215" s="18">
        <v>71</v>
      </c>
      <c r="W215" s="18">
        <v>80</v>
      </c>
      <c r="X215" s="18">
        <v>86</v>
      </c>
      <c r="Y215" s="18">
        <v>108</v>
      </c>
      <c r="Z215" s="18">
        <v>72</v>
      </c>
      <c r="AA215" s="18">
        <v>98</v>
      </c>
      <c r="AB215" s="18">
        <v>102</v>
      </c>
      <c r="AC215" s="18">
        <v>71</v>
      </c>
      <c r="AD215" s="18">
        <v>23</v>
      </c>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row>
    <row r="216" spans="1:63">
      <c r="A216" s="16" t="s">
        <v>568</v>
      </c>
      <c r="B216" s="38">
        <v>85</v>
      </c>
      <c r="C216" s="61">
        <v>24.1</v>
      </c>
      <c r="D216" s="38" t="s">
        <v>481</v>
      </c>
      <c r="E216" s="38">
        <v>500.85</v>
      </c>
      <c r="F216" s="38">
        <v>645.20000000000005</v>
      </c>
      <c r="G216" s="38">
        <v>24.114999999999998</v>
      </c>
      <c r="H216" s="38">
        <v>31.61</v>
      </c>
      <c r="I216" s="61">
        <v>138.80000000000001</v>
      </c>
      <c r="J216" s="38">
        <v>3034</v>
      </c>
      <c r="K216" s="23">
        <f t="shared" si="42"/>
        <v>69.905787199999992</v>
      </c>
      <c r="L216" s="135">
        <f t="shared" si="43"/>
        <v>155.30957227151424</v>
      </c>
      <c r="M216" s="39">
        <f t="shared" si="44"/>
        <v>12828.381844241467</v>
      </c>
      <c r="N216" s="63">
        <f t="shared" si="45"/>
        <v>323.14842000000004</v>
      </c>
      <c r="O216" s="63">
        <f t="shared" si="46"/>
        <v>309.35642817388293</v>
      </c>
      <c r="P216" s="308">
        <f t="shared" si="47"/>
        <v>13.791991826117112</v>
      </c>
      <c r="Q216" s="236">
        <f t="shared" si="48"/>
        <v>0.95731994658641029</v>
      </c>
      <c r="R216" s="106">
        <f t="shared" si="49"/>
        <v>1.3481481481481481</v>
      </c>
      <c r="S216" s="18">
        <v>5</v>
      </c>
      <c r="T216" s="18">
        <v>42</v>
      </c>
      <c r="U216" s="18">
        <v>43</v>
      </c>
      <c r="V216" s="18">
        <v>41</v>
      </c>
      <c r="W216" s="18">
        <v>46</v>
      </c>
      <c r="X216" s="18">
        <v>49</v>
      </c>
      <c r="Y216" s="18">
        <v>65</v>
      </c>
      <c r="Z216" s="18">
        <v>50</v>
      </c>
      <c r="AA216" s="18">
        <v>71</v>
      </c>
      <c r="AB216" s="18">
        <v>63</v>
      </c>
      <c r="AC216" s="18">
        <v>38</v>
      </c>
      <c r="AD216" s="18">
        <v>23.5</v>
      </c>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row>
    <row r="217" spans="1:63">
      <c r="A217" s="16"/>
      <c r="B217" s="38">
        <v>85</v>
      </c>
      <c r="C217" s="61">
        <v>24.1</v>
      </c>
      <c r="D217" s="38" t="s">
        <v>481</v>
      </c>
      <c r="E217" s="38">
        <v>500.65</v>
      </c>
      <c r="F217" s="38">
        <v>817.4</v>
      </c>
      <c r="G217" s="38">
        <v>24.11</v>
      </c>
      <c r="H217" s="38">
        <v>40.21</v>
      </c>
      <c r="I217" s="61">
        <v>138.6</v>
      </c>
      <c r="J217" s="38">
        <v>3250</v>
      </c>
      <c r="K217" s="23">
        <f t="shared" si="42"/>
        <v>74.774699999999996</v>
      </c>
      <c r="L217" s="135">
        <f t="shared" si="43"/>
        <v>166.60661624170913</v>
      </c>
      <c r="M217" s="39">
        <f t="shared" si="44"/>
        <v>16308.211511698086</v>
      </c>
      <c r="N217" s="63">
        <f t="shared" si="45"/>
        <v>409.23131000000001</v>
      </c>
      <c r="O217" s="63">
        <f t="shared" si="46"/>
        <v>393.19097954704085</v>
      </c>
      <c r="P217" s="309">
        <f t="shared" si="47"/>
        <v>16.040330452959154</v>
      </c>
      <c r="Q217" s="256">
        <f t="shared" si="48"/>
        <v>0.96080375557540021</v>
      </c>
      <c r="R217" s="106">
        <f t="shared" si="49"/>
        <v>1.3484070708079496</v>
      </c>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row>
    <row r="218" spans="1:63">
      <c r="A218" s="16"/>
      <c r="B218" s="38">
        <v>85</v>
      </c>
      <c r="C218" s="61">
        <v>24.1</v>
      </c>
      <c r="D218" s="38" t="s">
        <v>481</v>
      </c>
      <c r="E218" s="38">
        <v>500.45</v>
      </c>
      <c r="F218" s="38">
        <v>963</v>
      </c>
      <c r="G218" s="38">
        <v>24.114999999999998</v>
      </c>
      <c r="H218" s="38">
        <v>47.54</v>
      </c>
      <c r="I218" s="38">
        <v>138.4</v>
      </c>
      <c r="J218" s="61">
        <v>3449</v>
      </c>
      <c r="K218" s="23">
        <f t="shared" si="42"/>
        <v>79.238705600000017</v>
      </c>
      <c r="L218" s="135">
        <f t="shared" si="43"/>
        <v>177.06357050086027</v>
      </c>
      <c r="M218" s="39">
        <f t="shared" si="44"/>
        <v>19271.185800809326</v>
      </c>
      <c r="N218" s="63">
        <f t="shared" si="45"/>
        <v>481.93334999999996</v>
      </c>
      <c r="O218" s="63">
        <f t="shared" si="46"/>
        <v>464.72464558651689</v>
      </c>
      <c r="P218" s="310">
        <f t="shared" si="47"/>
        <v>17.208704413483076</v>
      </c>
      <c r="Q218" s="215">
        <f t="shared" si="48"/>
        <v>0.96429235616608999</v>
      </c>
      <c r="R218" s="106">
        <f t="shared" si="49"/>
        <v>1.3492256968728142</v>
      </c>
      <c r="S218" s="18">
        <v>2</v>
      </c>
      <c r="T218" s="18">
        <v>41</v>
      </c>
      <c r="U218" s="18">
        <v>43</v>
      </c>
      <c r="V218" s="18">
        <v>43</v>
      </c>
      <c r="W218" s="18">
        <v>56</v>
      </c>
      <c r="X218" s="18">
        <v>58</v>
      </c>
      <c r="Y218" s="18">
        <v>61</v>
      </c>
      <c r="Z218" s="18">
        <v>52</v>
      </c>
      <c r="AA218" s="18">
        <v>64</v>
      </c>
      <c r="AB218" s="18">
        <v>62</v>
      </c>
      <c r="AC218" s="18">
        <v>45</v>
      </c>
      <c r="AD218" s="18">
        <v>23</v>
      </c>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row>
    <row r="219" spans="1:63">
      <c r="A219" s="16"/>
      <c r="B219" s="38">
        <v>85</v>
      </c>
      <c r="C219" s="61">
        <v>24.1</v>
      </c>
      <c r="D219" s="38" t="s">
        <v>481</v>
      </c>
      <c r="E219" s="38">
        <v>500.35</v>
      </c>
      <c r="F219" s="38">
        <v>1060.4000000000001</v>
      </c>
      <c r="G219" s="38">
        <v>24.114999999999998</v>
      </c>
      <c r="H219" s="38">
        <v>52.454999999999998</v>
      </c>
      <c r="I219" s="38">
        <v>138.1</v>
      </c>
      <c r="J219" s="38">
        <v>3583</v>
      </c>
      <c r="K219" s="23">
        <f t="shared" si="42"/>
        <v>82.138841799999994</v>
      </c>
      <c r="L219" s="135">
        <f t="shared" si="43"/>
        <v>184.34240234116746</v>
      </c>
      <c r="M219" s="39">
        <f t="shared" si="44"/>
        <v>21256.422420222461</v>
      </c>
      <c r="N219" s="63">
        <f t="shared" si="45"/>
        <v>530.57114000000001</v>
      </c>
      <c r="O219" s="63">
        <f t="shared" si="46"/>
        <v>512.59862666366462</v>
      </c>
      <c r="P219" s="311">
        <f t="shared" si="47"/>
        <v>17.972513336335396</v>
      </c>
      <c r="Q219" s="246">
        <f t="shared" si="48"/>
        <v>0.96612610075939032</v>
      </c>
      <c r="R219" s="106">
        <f t="shared" si="49"/>
        <v>1.349495353252723</v>
      </c>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row>
    <row r="220" spans="1:63">
      <c r="A220" s="16"/>
      <c r="B220" s="38">
        <v>85</v>
      </c>
      <c r="C220" s="61">
        <v>24.1</v>
      </c>
      <c r="D220" s="38" t="s">
        <v>481</v>
      </c>
      <c r="E220" s="38">
        <v>500.3</v>
      </c>
      <c r="F220" s="38">
        <v>1191.0999999999999</v>
      </c>
      <c r="G220" s="38">
        <v>24.12</v>
      </c>
      <c r="H220" s="38">
        <v>59.03</v>
      </c>
      <c r="I220" s="61">
        <v>137.9</v>
      </c>
      <c r="J220" s="38">
        <v>3786</v>
      </c>
      <c r="K220" s="23">
        <f t="shared" si="42"/>
        <v>86.666840399999998</v>
      </c>
      <c r="L220" s="135">
        <f t="shared" si="43"/>
        <v>195.06908944949618</v>
      </c>
      <c r="M220" s="39">
        <f t="shared" si="44"/>
        <v>23910.232192602933</v>
      </c>
      <c r="N220" s="63">
        <f t="shared" si="45"/>
        <v>595.90733</v>
      </c>
      <c r="O220" s="63">
        <f t="shared" si="46"/>
        <v>576.71480048558283</v>
      </c>
      <c r="P220" s="312">
        <f t="shared" si="47"/>
        <v>19.192529514417174</v>
      </c>
      <c r="Q220" s="257">
        <f t="shared" si="48"/>
        <v>0.96779276147783388</v>
      </c>
      <c r="R220" s="106">
        <f t="shared" si="49"/>
        <v>1.3499100539676194</v>
      </c>
      <c r="S220" s="18">
        <v>6</v>
      </c>
      <c r="T220" s="18">
        <v>47</v>
      </c>
      <c r="U220" s="18">
        <v>49</v>
      </c>
      <c r="V220" s="18">
        <v>46</v>
      </c>
      <c r="W220" s="18">
        <v>78</v>
      </c>
      <c r="X220" s="18">
        <v>77</v>
      </c>
      <c r="Y220" s="18">
        <v>67</v>
      </c>
      <c r="Z220" s="18">
        <v>65</v>
      </c>
      <c r="AA220" s="18">
        <v>67</v>
      </c>
      <c r="AB220" s="18">
        <v>70</v>
      </c>
      <c r="AC220" s="18">
        <v>59</v>
      </c>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row>
    <row r="221" spans="1:63">
      <c r="A221" s="16"/>
      <c r="B221" s="38">
        <v>85</v>
      </c>
      <c r="C221" s="61">
        <v>24.1</v>
      </c>
      <c r="D221" s="38" t="s">
        <v>481</v>
      </c>
      <c r="E221" s="38">
        <v>500.25</v>
      </c>
      <c r="F221" s="38">
        <v>1245.3</v>
      </c>
      <c r="G221" s="38">
        <v>24.12</v>
      </c>
      <c r="H221" s="38">
        <v>61.77</v>
      </c>
      <c r="I221" s="61">
        <v>137.69999999999999</v>
      </c>
      <c r="J221" s="38">
        <v>3868</v>
      </c>
      <c r="K221" s="23">
        <f t="shared" si="42"/>
        <v>88.415517599999987</v>
      </c>
      <c r="L221" s="135">
        <f t="shared" si="43"/>
        <v>199.58350188020384</v>
      </c>
      <c r="M221" s="39">
        <f t="shared" si="44"/>
        <v>25015.50447535776</v>
      </c>
      <c r="N221" s="63">
        <f t="shared" si="45"/>
        <v>622.96132499999999</v>
      </c>
      <c r="O221" s="63">
        <f t="shared" si="46"/>
        <v>603.37396794562915</v>
      </c>
      <c r="P221" s="313">
        <f t="shared" si="47"/>
        <v>19.587357054370841</v>
      </c>
      <c r="Q221" s="259">
        <f t="shared" si="48"/>
        <v>0.96855766759779049</v>
      </c>
      <c r="R221" s="106">
        <f t="shared" si="49"/>
        <v>1.3500449775112444</v>
      </c>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row>
    <row r="222" spans="1:63">
      <c r="A222" s="16"/>
      <c r="B222" s="38">
        <v>85</v>
      </c>
      <c r="C222" s="61">
        <v>24.1</v>
      </c>
      <c r="D222" s="38" t="s">
        <v>481</v>
      </c>
      <c r="E222" s="38">
        <v>500.15</v>
      </c>
      <c r="F222" s="38">
        <v>1357.8</v>
      </c>
      <c r="G222" s="38">
        <v>24.12</v>
      </c>
      <c r="H222" s="38">
        <v>67.400000000000006</v>
      </c>
      <c r="I222" s="61">
        <v>137.5</v>
      </c>
      <c r="J222" s="38">
        <v>4056</v>
      </c>
      <c r="K222" s="23">
        <f t="shared" si="42"/>
        <v>92.578199999999995</v>
      </c>
      <c r="L222" s="135">
        <f t="shared" si="43"/>
        <v>209.58845752621022</v>
      </c>
      <c r="M222" s="39">
        <f t="shared" si="44"/>
        <v>27285.356623037729</v>
      </c>
      <c r="N222" s="63">
        <f t="shared" si="45"/>
        <v>679.10366999999997</v>
      </c>
      <c r="O222" s="63">
        <f t="shared" si="46"/>
        <v>658.12280174767</v>
      </c>
      <c r="P222" s="314">
        <f t="shared" si="47"/>
        <v>20.980868252329969</v>
      </c>
      <c r="Q222" s="260">
        <f t="shared" si="48"/>
        <v>0.96910505835974947</v>
      </c>
      <c r="R222" s="106">
        <f t="shared" si="49"/>
        <v>1.3503149055283417</v>
      </c>
      <c r="S222" s="18">
        <v>1</v>
      </c>
      <c r="T222" s="16"/>
      <c r="U222" s="16"/>
      <c r="V222" s="16"/>
      <c r="W222" s="18">
        <v>89</v>
      </c>
      <c r="X222" s="18">
        <v>88</v>
      </c>
      <c r="Y222" s="16"/>
      <c r="Z222" s="16"/>
      <c r="AA222" s="16"/>
      <c r="AB222" s="18">
        <v>81</v>
      </c>
      <c r="AC222" s="18">
        <v>66</v>
      </c>
      <c r="AD222" s="18">
        <v>23</v>
      </c>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row>
    <row r="223" spans="1:63">
      <c r="A223" s="16"/>
      <c r="B223" s="38">
        <v>85</v>
      </c>
      <c r="C223" s="61">
        <v>24.1</v>
      </c>
      <c r="D223" s="38" t="s">
        <v>481</v>
      </c>
      <c r="E223" s="38">
        <v>500.05</v>
      </c>
      <c r="F223" s="38">
        <v>1454.5</v>
      </c>
      <c r="G223" s="38">
        <v>24.12</v>
      </c>
      <c r="H223" s="38">
        <v>72.2</v>
      </c>
      <c r="I223" s="61">
        <v>137.19999999999999</v>
      </c>
      <c r="J223" s="38">
        <v>4217</v>
      </c>
      <c r="K223" s="23">
        <f t="shared" si="42"/>
        <v>96.04301839999998</v>
      </c>
      <c r="L223" s="135">
        <f t="shared" si="43"/>
        <v>218.38439550529816</v>
      </c>
      <c r="M223" s="39">
        <f t="shared" si="44"/>
        <v>29219.302009825253</v>
      </c>
      <c r="N223" s="63">
        <f t="shared" si="45"/>
        <v>727.32272499999999</v>
      </c>
      <c r="O223" s="63">
        <f t="shared" si="46"/>
        <v>704.76956447698512</v>
      </c>
      <c r="P223" s="315">
        <f t="shared" si="47"/>
        <v>22.553160523014867</v>
      </c>
      <c r="Q223" s="261">
        <f t="shared" si="48"/>
        <v>0.96899153601585197</v>
      </c>
      <c r="R223" s="106">
        <f t="shared" si="49"/>
        <v>1.3505849415058493</v>
      </c>
      <c r="S223" s="18">
        <v>2</v>
      </c>
      <c r="T223" s="18">
        <v>52</v>
      </c>
      <c r="U223" s="18">
        <v>52</v>
      </c>
      <c r="V223" s="18">
        <v>48</v>
      </c>
      <c r="W223" s="18">
        <v>103</v>
      </c>
      <c r="X223" s="18">
        <v>100</v>
      </c>
      <c r="Y223" s="18">
        <v>73</v>
      </c>
      <c r="Z223" s="18">
        <v>79</v>
      </c>
      <c r="AA223" s="18">
        <v>71</v>
      </c>
      <c r="AB223" s="18">
        <v>92</v>
      </c>
      <c r="AC223" s="18">
        <v>80</v>
      </c>
      <c r="AD223" s="18">
        <v>24</v>
      </c>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row>
    <row r="224" spans="1:63">
      <c r="A224" s="16" t="s">
        <v>573</v>
      </c>
      <c r="B224" s="38">
        <v>85</v>
      </c>
      <c r="C224" s="61">
        <v>24.1</v>
      </c>
      <c r="D224" s="38" t="s">
        <v>481</v>
      </c>
      <c r="E224" s="38">
        <v>499.95</v>
      </c>
      <c r="F224" s="38">
        <v>1573.3</v>
      </c>
      <c r="G224" s="38">
        <v>24.12</v>
      </c>
      <c r="H224" s="38">
        <v>78.099999999999994</v>
      </c>
      <c r="I224" s="61">
        <v>137.1</v>
      </c>
      <c r="J224" s="38">
        <v>4436</v>
      </c>
      <c r="K224" s="23">
        <f t="shared" si="42"/>
        <v>100.95714959999999</v>
      </c>
      <c r="L224" s="135">
        <f t="shared" si="43"/>
        <v>229.89323732535158</v>
      </c>
      <c r="M224" s="39">
        <f t="shared" si="44"/>
        <v>31594.83556233612</v>
      </c>
      <c r="N224" s="63">
        <f t="shared" si="45"/>
        <v>786.57133499999998</v>
      </c>
      <c r="O224" s="63">
        <f t="shared" si="46"/>
        <v>762.06743376354723</v>
      </c>
      <c r="P224" s="316">
        <f t="shared" si="47"/>
        <v>24.503901236452748</v>
      </c>
      <c r="Q224" s="261">
        <f t="shared" si="48"/>
        <v>0.96884719777329187</v>
      </c>
      <c r="R224" s="106">
        <f t="shared" si="49"/>
        <v>1.3508550855085508</v>
      </c>
      <c r="S224" s="18">
        <v>2</v>
      </c>
      <c r="T224" s="18">
        <v>51</v>
      </c>
      <c r="U224" s="18">
        <v>53</v>
      </c>
      <c r="V224" s="18">
        <v>51</v>
      </c>
      <c r="W224" s="18">
        <v>111</v>
      </c>
      <c r="X224" s="18">
        <v>107</v>
      </c>
      <c r="Y224" s="18">
        <v>70</v>
      </c>
      <c r="Z224" s="18">
        <v>83</v>
      </c>
      <c r="AA224" s="18">
        <v>72</v>
      </c>
      <c r="AB224" s="18">
        <v>101</v>
      </c>
      <c r="AC224" s="18">
        <v>82</v>
      </c>
      <c r="AD224" s="18">
        <v>24</v>
      </c>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row>
    <row r="225" spans="1:63">
      <c r="A225" s="16" t="s">
        <v>574</v>
      </c>
      <c r="B225" s="38">
        <v>85</v>
      </c>
      <c r="C225" s="61">
        <v>24.1</v>
      </c>
      <c r="D225" s="38" t="s">
        <v>481</v>
      </c>
      <c r="E225" s="16"/>
      <c r="F225" s="16"/>
      <c r="G225" s="16"/>
      <c r="H225" s="16"/>
      <c r="I225" s="55"/>
      <c r="J225" s="16"/>
      <c r="K225" s="55"/>
      <c r="L225" s="135" t="e">
        <f t="shared" si="43"/>
        <v>#DIV/0!</v>
      </c>
      <c r="M225" s="39">
        <f t="shared" si="44"/>
        <v>5.6167354629738204</v>
      </c>
      <c r="N225" s="63">
        <f t="shared" si="45"/>
        <v>0</v>
      </c>
      <c r="O225" s="63">
        <f t="shared" si="46"/>
        <v>0</v>
      </c>
      <c r="P225" s="149">
        <f t="shared" si="47"/>
        <v>0</v>
      </c>
      <c r="Q225" s="114" t="e">
        <f t="shared" si="48"/>
        <v>#DIV/0!</v>
      </c>
      <c r="R225" s="106" t="e">
        <f t="shared" si="49"/>
        <v>#DIV/0!</v>
      </c>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row>
    <row r="226" spans="1:63">
      <c r="A226" s="139" t="s">
        <v>575</v>
      </c>
      <c r="B226" s="140">
        <v>85</v>
      </c>
      <c r="C226" s="107">
        <v>24.1</v>
      </c>
      <c r="D226" s="140" t="s">
        <v>481</v>
      </c>
      <c r="E226" s="139"/>
      <c r="F226" s="139"/>
      <c r="G226" s="139"/>
      <c r="H226" s="139"/>
      <c r="I226" s="184"/>
      <c r="J226" s="139"/>
      <c r="K226" s="55"/>
      <c r="L226" s="141" t="e">
        <f t="shared" si="43"/>
        <v>#DIV/0!</v>
      </c>
      <c r="M226" s="142">
        <f t="shared" si="44"/>
        <v>5.6167354629738204</v>
      </c>
      <c r="N226" s="110">
        <f t="shared" si="45"/>
        <v>0</v>
      </c>
      <c r="O226" s="110">
        <f t="shared" si="46"/>
        <v>0</v>
      </c>
      <c r="P226" s="317">
        <f t="shared" si="47"/>
        <v>0</v>
      </c>
      <c r="Q226" s="144" t="e">
        <f t="shared" si="48"/>
        <v>#DIV/0!</v>
      </c>
      <c r="R226" s="113" t="e">
        <f t="shared" si="49"/>
        <v>#DIV/0!</v>
      </c>
      <c r="S226" s="139"/>
      <c r="T226" s="139"/>
      <c r="U226" s="139"/>
      <c r="V226" s="139"/>
      <c r="W226" s="139"/>
      <c r="X226" s="139"/>
      <c r="Y226" s="139"/>
      <c r="Z226" s="139"/>
      <c r="AA226" s="139"/>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6"/>
      <c r="AX226" s="16"/>
      <c r="AY226" s="16"/>
      <c r="AZ226" s="16"/>
      <c r="BA226" s="16"/>
      <c r="BB226" s="16"/>
      <c r="BC226" s="16"/>
      <c r="BD226" s="16"/>
      <c r="BE226" s="16"/>
      <c r="BF226" s="16"/>
      <c r="BG226" s="16"/>
      <c r="BH226" s="16"/>
      <c r="BI226" s="16"/>
      <c r="BJ226" s="16"/>
      <c r="BK226" s="16"/>
    </row>
    <row r="227" spans="1:63">
      <c r="A227" s="16" t="s">
        <v>576</v>
      </c>
      <c r="B227" s="38">
        <v>85</v>
      </c>
      <c r="C227" s="61">
        <v>24.1</v>
      </c>
      <c r="D227" s="38" t="s">
        <v>481</v>
      </c>
      <c r="E227" s="38">
        <v>602.9</v>
      </c>
      <c r="F227" s="38">
        <v>17.3</v>
      </c>
      <c r="G227" s="38">
        <v>24.16</v>
      </c>
      <c r="H227" s="38">
        <v>0.15</v>
      </c>
      <c r="I227" s="61">
        <v>193.8</v>
      </c>
      <c r="J227" s="38">
        <v>1623</v>
      </c>
      <c r="K227" s="23">
        <f t="shared" ref="K227:K244" si="50">J227*I227*1000*166*10^-6/1000</f>
        <v>52.213208399999999</v>
      </c>
      <c r="L227" s="135">
        <f t="shared" si="43"/>
        <v>59.50272571091012</v>
      </c>
      <c r="M227" s="39">
        <f t="shared" si="44"/>
        <v>66.58520838867733</v>
      </c>
      <c r="N227" s="63">
        <f t="shared" si="45"/>
        <v>10.43017</v>
      </c>
      <c r="O227" s="63">
        <f t="shared" si="46"/>
        <v>1.6086986346704444</v>
      </c>
      <c r="P227" s="167">
        <f t="shared" si="47"/>
        <v>8.8214713653295558</v>
      </c>
      <c r="Q227" s="114">
        <f t="shared" si="48"/>
        <v>0.15423513084354754</v>
      </c>
      <c r="R227" s="106">
        <f t="shared" si="49"/>
        <v>1.1220434566263062</v>
      </c>
      <c r="S227" s="18">
        <v>13</v>
      </c>
      <c r="T227" s="18">
        <v>54</v>
      </c>
      <c r="U227" s="18">
        <v>56</v>
      </c>
      <c r="V227" s="18">
        <v>56</v>
      </c>
      <c r="W227" s="18">
        <v>50</v>
      </c>
      <c r="X227" s="18">
        <v>55</v>
      </c>
      <c r="Y227" s="18">
        <v>73</v>
      </c>
      <c r="Z227" s="18">
        <v>55</v>
      </c>
      <c r="AA227" s="18">
        <v>65</v>
      </c>
      <c r="AB227" s="18">
        <v>92</v>
      </c>
      <c r="AC227" s="18">
        <v>43</v>
      </c>
      <c r="AD227" s="18">
        <v>23</v>
      </c>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row>
    <row r="228" spans="1:63">
      <c r="A228" s="16"/>
      <c r="B228" s="38">
        <v>85</v>
      </c>
      <c r="C228" s="61">
        <v>24.1</v>
      </c>
      <c r="D228" s="38" t="s">
        <v>481</v>
      </c>
      <c r="E228" s="38">
        <v>602.85</v>
      </c>
      <c r="F228" s="38">
        <v>39.799999999999997</v>
      </c>
      <c r="G228" s="38">
        <v>24.16</v>
      </c>
      <c r="H228" s="38">
        <v>1.49</v>
      </c>
      <c r="I228" s="61">
        <v>185.7</v>
      </c>
      <c r="J228" s="38">
        <v>1746</v>
      </c>
      <c r="K228" s="23">
        <f t="shared" si="50"/>
        <v>53.822545199999993</v>
      </c>
      <c r="L228" s="135">
        <f t="shared" si="43"/>
        <v>66.8043048115358</v>
      </c>
      <c r="M228" s="39">
        <f t="shared" si="44"/>
        <v>611.18605496447026</v>
      </c>
      <c r="N228" s="63">
        <f t="shared" si="45"/>
        <v>23.99343</v>
      </c>
      <c r="O228" s="63">
        <f t="shared" si="46"/>
        <v>14.766255087941602</v>
      </c>
      <c r="P228" s="172">
        <f t="shared" si="47"/>
        <v>9.2271749120583983</v>
      </c>
      <c r="Q228" s="114">
        <f t="shared" si="48"/>
        <v>0.61542910238101023</v>
      </c>
      <c r="R228" s="106">
        <f t="shared" si="49"/>
        <v>1.1221365182051919</v>
      </c>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row>
    <row r="229" spans="1:63">
      <c r="A229" s="16"/>
      <c r="B229" s="38">
        <v>85</v>
      </c>
      <c r="C229" s="61">
        <v>24.1</v>
      </c>
      <c r="D229" s="38" t="s">
        <v>481</v>
      </c>
      <c r="E229" s="38">
        <v>602.79999999999995</v>
      </c>
      <c r="F229" s="38">
        <v>61.8</v>
      </c>
      <c r="G229" s="38">
        <v>24.16</v>
      </c>
      <c r="H229" s="38">
        <v>2.82</v>
      </c>
      <c r="I229" s="61">
        <v>182.4</v>
      </c>
      <c r="J229" s="38">
        <v>1806</v>
      </c>
      <c r="K229" s="23">
        <f t="shared" si="50"/>
        <v>54.682790399999995</v>
      </c>
      <c r="L229" s="135">
        <f t="shared" si="43"/>
        <v>70.350149598596829</v>
      </c>
      <c r="M229" s="39">
        <f t="shared" si="44"/>
        <v>1151.6322847334711</v>
      </c>
      <c r="N229" s="63">
        <f t="shared" si="45"/>
        <v>37.253039999999991</v>
      </c>
      <c r="O229" s="63">
        <f t="shared" si="46"/>
        <v>27.823435999160662</v>
      </c>
      <c r="P229" s="145">
        <f t="shared" si="47"/>
        <v>9.4296040008393298</v>
      </c>
      <c r="Q229" s="114">
        <f t="shared" si="48"/>
        <v>0.74687692599478239</v>
      </c>
      <c r="R229" s="106">
        <f t="shared" si="49"/>
        <v>1.122229595222296</v>
      </c>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row>
    <row r="230" spans="1:63">
      <c r="A230" s="16"/>
      <c r="B230" s="38">
        <v>85</v>
      </c>
      <c r="C230" s="61">
        <v>24.1</v>
      </c>
      <c r="D230" s="38" t="s">
        <v>481</v>
      </c>
      <c r="E230" s="38">
        <v>602.75</v>
      </c>
      <c r="F230" s="38">
        <v>84.1</v>
      </c>
      <c r="G230" s="38">
        <v>24.16</v>
      </c>
      <c r="H230" s="38">
        <v>4.17</v>
      </c>
      <c r="I230" s="61">
        <v>180.1</v>
      </c>
      <c r="J230" s="38">
        <v>1858</v>
      </c>
      <c r="K230" s="23">
        <f t="shared" si="50"/>
        <v>55.547882799999996</v>
      </c>
      <c r="L230" s="135">
        <f t="shared" si="43"/>
        <v>73.300022870414637</v>
      </c>
      <c r="M230" s="39">
        <f t="shared" si="44"/>
        <v>1700.1133904339401</v>
      </c>
      <c r="N230" s="63">
        <f t="shared" si="45"/>
        <v>50.691274999999997</v>
      </c>
      <c r="O230" s="63">
        <f t="shared" si="46"/>
        <v>41.074739512883994</v>
      </c>
      <c r="P230" s="148">
        <f t="shared" si="47"/>
        <v>9.6165354871160034</v>
      </c>
      <c r="Q230" s="114">
        <f t="shared" si="48"/>
        <v>0.81029209687237091</v>
      </c>
      <c r="R230" s="106">
        <f t="shared" si="49"/>
        <v>1.12232268768146</v>
      </c>
      <c r="S230" s="16"/>
      <c r="T230" s="16"/>
      <c r="U230" s="16"/>
      <c r="V230" s="16"/>
      <c r="W230" s="16"/>
      <c r="X230" s="16"/>
      <c r="Y230" s="16"/>
      <c r="Z230" s="16"/>
      <c r="AA230" s="16"/>
      <c r="AB230" s="18">
        <v>99</v>
      </c>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row>
    <row r="231" spans="1:63">
      <c r="A231" s="16"/>
      <c r="B231" s="38">
        <v>85</v>
      </c>
      <c r="C231" s="61">
        <v>24.1</v>
      </c>
      <c r="D231" s="38" t="s">
        <v>481</v>
      </c>
      <c r="E231" s="38">
        <v>602.65</v>
      </c>
      <c r="F231" s="38">
        <v>130.5</v>
      </c>
      <c r="G231" s="38">
        <v>24.16</v>
      </c>
      <c r="H231" s="38">
        <v>6.96</v>
      </c>
      <c r="I231" s="61">
        <v>177.6</v>
      </c>
      <c r="J231" s="38">
        <v>1925</v>
      </c>
      <c r="K231" s="23">
        <f t="shared" si="50"/>
        <v>56.752079999999992</v>
      </c>
      <c r="L231" s="135">
        <f t="shared" si="43"/>
        <v>77.012263074097731</v>
      </c>
      <c r="M231" s="39">
        <f t="shared" si="44"/>
        <v>2833.3468643205142</v>
      </c>
      <c r="N231" s="63">
        <f t="shared" si="45"/>
        <v>78.645825000000002</v>
      </c>
      <c r="O231" s="63">
        <f t="shared" si="46"/>
        <v>68.453660241983627</v>
      </c>
      <c r="P231" s="200">
        <f t="shared" si="47"/>
        <v>10.192164758016375</v>
      </c>
      <c r="Q231" s="114">
        <f t="shared" si="48"/>
        <v>0.87040424894752677</v>
      </c>
      <c r="R231" s="106">
        <f t="shared" si="49"/>
        <v>1.1225089189413424</v>
      </c>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row>
    <row r="232" spans="1:63">
      <c r="A232" s="16" t="s">
        <v>577</v>
      </c>
      <c r="B232" s="38">
        <v>85</v>
      </c>
      <c r="C232" s="61">
        <v>24.1</v>
      </c>
      <c r="D232" s="38" t="s">
        <v>481</v>
      </c>
      <c r="E232" s="38">
        <v>602.5</v>
      </c>
      <c r="F232" s="38">
        <v>178.1</v>
      </c>
      <c r="G232" s="38">
        <v>24.16</v>
      </c>
      <c r="H232" s="38">
        <v>9.85</v>
      </c>
      <c r="I232" s="61">
        <v>176.7</v>
      </c>
      <c r="J232" s="38">
        <v>1974</v>
      </c>
      <c r="K232" s="23">
        <f t="shared" si="50"/>
        <v>57.9017628</v>
      </c>
      <c r="L232" s="135">
        <f t="shared" si="43"/>
        <v>79.374812450329813</v>
      </c>
      <c r="M232" s="39">
        <f t="shared" si="44"/>
        <v>4006.7800002497788</v>
      </c>
      <c r="N232" s="63">
        <f t="shared" si="45"/>
        <v>107.30525</v>
      </c>
      <c r="O232" s="63">
        <f t="shared" si="46"/>
        <v>96.803804806034663</v>
      </c>
      <c r="P232" s="318">
        <f t="shared" si="47"/>
        <v>10.501445193965338</v>
      </c>
      <c r="Q232" s="191">
        <f t="shared" si="48"/>
        <v>0.90213484248007125</v>
      </c>
      <c r="R232" s="106">
        <f t="shared" si="49"/>
        <v>1.1227883817427387</v>
      </c>
      <c r="S232" s="16"/>
      <c r="T232" s="16"/>
      <c r="U232" s="16"/>
      <c r="V232" s="16"/>
      <c r="W232" s="16"/>
      <c r="X232" s="16"/>
      <c r="Y232" s="16"/>
      <c r="Z232" s="16"/>
      <c r="AA232" s="16"/>
      <c r="AB232" s="18">
        <v>108</v>
      </c>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row>
    <row r="233" spans="1:63">
      <c r="A233" s="16"/>
      <c r="B233" s="38">
        <v>85</v>
      </c>
      <c r="C233" s="61">
        <v>24.1</v>
      </c>
      <c r="D233" s="38" t="s">
        <v>481</v>
      </c>
      <c r="E233" s="38">
        <v>602.29999999999995</v>
      </c>
      <c r="F233" s="38">
        <v>254.3</v>
      </c>
      <c r="G233" s="38">
        <v>24.12</v>
      </c>
      <c r="H233" s="38">
        <v>14.42</v>
      </c>
      <c r="I233" s="61">
        <v>175.2</v>
      </c>
      <c r="J233" s="38">
        <v>2098</v>
      </c>
      <c r="K233" s="23">
        <f t="shared" si="50"/>
        <v>61.016553600000002</v>
      </c>
      <c r="L233" s="135">
        <f t="shared" si="43"/>
        <v>85.083137283613738</v>
      </c>
      <c r="M233" s="39">
        <f t="shared" si="44"/>
        <v>5861.4790944246597</v>
      </c>
      <c r="N233" s="63">
        <f t="shared" si="45"/>
        <v>153.16488999999999</v>
      </c>
      <c r="O233" s="63">
        <f t="shared" si="46"/>
        <v>141.37887575752279</v>
      </c>
      <c r="P233" s="305">
        <f t="shared" si="47"/>
        <v>11.786014242477194</v>
      </c>
      <c r="Q233" s="265">
        <f t="shared" si="48"/>
        <v>0.92305015697476622</v>
      </c>
      <c r="R233" s="106">
        <f t="shared" si="49"/>
        <v>1.1213016769051971</v>
      </c>
      <c r="S233" s="18">
        <v>5</v>
      </c>
      <c r="T233" s="18">
        <v>38</v>
      </c>
      <c r="U233" s="18">
        <v>38</v>
      </c>
      <c r="V233" s="18">
        <v>37</v>
      </c>
      <c r="W233" s="18">
        <v>36</v>
      </c>
      <c r="X233" s="18">
        <v>40</v>
      </c>
      <c r="Y233" s="18">
        <v>55</v>
      </c>
      <c r="Z233" s="18">
        <v>40</v>
      </c>
      <c r="AA233" s="18">
        <v>55</v>
      </c>
      <c r="AB233" s="18">
        <v>75</v>
      </c>
      <c r="AC233" s="18">
        <v>30</v>
      </c>
      <c r="AD233" s="18">
        <v>23</v>
      </c>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row>
    <row r="234" spans="1:63">
      <c r="A234" s="16" t="s">
        <v>578</v>
      </c>
      <c r="B234" s="38">
        <v>85</v>
      </c>
      <c r="C234" s="61">
        <v>24.1</v>
      </c>
      <c r="D234" s="38" t="s">
        <v>481</v>
      </c>
      <c r="E234" s="38">
        <v>602.15</v>
      </c>
      <c r="F234" s="38">
        <v>332.6</v>
      </c>
      <c r="G234" s="38">
        <v>24.12</v>
      </c>
      <c r="H234" s="38">
        <v>19.11</v>
      </c>
      <c r="I234" s="61">
        <v>174</v>
      </c>
      <c r="J234" s="38">
        <v>2209</v>
      </c>
      <c r="K234" s="23">
        <f t="shared" si="50"/>
        <v>63.80475599999999</v>
      </c>
      <c r="L234" s="135">
        <f t="shared" si="43"/>
        <v>90.202501357244657</v>
      </c>
      <c r="M234" s="39">
        <f t="shared" si="44"/>
        <v>7763.7732971551804</v>
      </c>
      <c r="N234" s="63">
        <f t="shared" si="45"/>
        <v>200.27509000000001</v>
      </c>
      <c r="O234" s="63">
        <f t="shared" si="46"/>
        <v>187.26221192738296</v>
      </c>
      <c r="P234" s="306">
        <f t="shared" si="47"/>
        <v>13.012878072617042</v>
      </c>
      <c r="Q234" s="267">
        <f t="shared" si="48"/>
        <v>0.93502497952882191</v>
      </c>
      <c r="R234" s="106">
        <f t="shared" si="49"/>
        <v>1.1215810014116085</v>
      </c>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row>
    <row r="235" spans="1:63">
      <c r="A235" s="16"/>
      <c r="B235" s="38">
        <v>85</v>
      </c>
      <c r="C235" s="61">
        <v>24.1</v>
      </c>
      <c r="D235" s="38" t="s">
        <v>481</v>
      </c>
      <c r="E235" s="38">
        <v>602.04999999999995</v>
      </c>
      <c r="F235" s="38">
        <v>386.6</v>
      </c>
      <c r="G235" s="38">
        <v>24.12</v>
      </c>
      <c r="H235" s="38">
        <v>22.36</v>
      </c>
      <c r="I235" s="61">
        <v>173.4</v>
      </c>
      <c r="J235" s="38">
        <v>2286</v>
      </c>
      <c r="K235" s="23">
        <f t="shared" si="50"/>
        <v>65.801138399999999</v>
      </c>
      <c r="L235" s="135">
        <f t="shared" si="43"/>
        <v>93.669725219371173</v>
      </c>
      <c r="M235" s="39">
        <f t="shared" si="44"/>
        <v>9081.3370831663287</v>
      </c>
      <c r="N235" s="63">
        <f t="shared" si="45"/>
        <v>232.75253000000001</v>
      </c>
      <c r="O235" s="63">
        <f t="shared" si="46"/>
        <v>219.04185044597185</v>
      </c>
      <c r="P235" s="195">
        <f t="shared" si="47"/>
        <v>13.710679554028161</v>
      </c>
      <c r="Q235" s="268">
        <f t="shared" si="48"/>
        <v>0.94109331677714458</v>
      </c>
      <c r="R235" s="106">
        <f t="shared" si="49"/>
        <v>1.12176729507516</v>
      </c>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row>
    <row r="236" spans="1:63">
      <c r="A236" s="16"/>
      <c r="B236" s="38">
        <v>85</v>
      </c>
      <c r="C236" s="61">
        <v>24.1</v>
      </c>
      <c r="D236" s="38" t="s">
        <v>481</v>
      </c>
      <c r="E236" s="38">
        <v>601.79999999999995</v>
      </c>
      <c r="F236" s="38">
        <v>530.9</v>
      </c>
      <c r="G236" s="38">
        <v>24.12</v>
      </c>
      <c r="H236" s="38">
        <v>31.07</v>
      </c>
      <c r="I236" s="61">
        <v>171.3</v>
      </c>
      <c r="J236" s="38">
        <v>2499</v>
      </c>
      <c r="K236" s="23">
        <f t="shared" si="50"/>
        <v>71.06106419999999</v>
      </c>
      <c r="L236" s="135">
        <f t="shared" si="43"/>
        <v>103.65279240332499</v>
      </c>
      <c r="M236" s="39">
        <f t="shared" si="44"/>
        <v>12609.755222933954</v>
      </c>
      <c r="N236" s="63">
        <f t="shared" si="45"/>
        <v>319.49561999999992</v>
      </c>
      <c r="O236" s="63">
        <f t="shared" si="46"/>
        <v>304.14729597716695</v>
      </c>
      <c r="P236" s="319">
        <f t="shared" si="47"/>
        <v>15.348324022832969</v>
      </c>
      <c r="Q236" s="270">
        <f t="shared" si="48"/>
        <v>0.95196076859259304</v>
      </c>
      <c r="R236" s="106">
        <f t="shared" si="49"/>
        <v>1.1222333000997011</v>
      </c>
      <c r="S236" s="18">
        <v>5</v>
      </c>
      <c r="T236" s="18">
        <v>39</v>
      </c>
      <c r="U236" s="18">
        <v>40</v>
      </c>
      <c r="V236" s="18">
        <v>39</v>
      </c>
      <c r="W236" s="18">
        <v>48</v>
      </c>
      <c r="X236" s="18">
        <v>51</v>
      </c>
      <c r="Y236" s="18">
        <v>59</v>
      </c>
      <c r="Z236" s="18">
        <v>46</v>
      </c>
      <c r="AA236" s="18">
        <v>59</v>
      </c>
      <c r="AB236" s="18">
        <v>82</v>
      </c>
      <c r="AC236" s="18">
        <v>36</v>
      </c>
      <c r="AD236" s="18">
        <v>23</v>
      </c>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row>
    <row r="237" spans="1:63">
      <c r="A237" s="16"/>
      <c r="B237" s="38">
        <v>85</v>
      </c>
      <c r="C237" s="61">
        <v>24.1</v>
      </c>
      <c r="D237" s="38" t="s">
        <v>481</v>
      </c>
      <c r="E237" s="38">
        <v>601.5</v>
      </c>
      <c r="F237" s="38">
        <v>709.4</v>
      </c>
      <c r="G237" s="38">
        <v>24.12</v>
      </c>
      <c r="H237" s="38">
        <v>41.87</v>
      </c>
      <c r="I237" s="61">
        <v>168.2</v>
      </c>
      <c r="J237" s="38">
        <v>2887</v>
      </c>
      <c r="K237" s="23">
        <f t="shared" si="50"/>
        <v>80.608504399999973</v>
      </c>
      <c r="L237" s="135">
        <f t="shared" si="43"/>
        <v>121.95311722500368</v>
      </c>
      <c r="M237" s="39">
        <f t="shared" si="44"/>
        <v>16979.465841513847</v>
      </c>
      <c r="N237" s="63">
        <f t="shared" si="45"/>
        <v>426.70409999999998</v>
      </c>
      <c r="O237" s="63">
        <f t="shared" si="46"/>
        <v>409.54471609731405</v>
      </c>
      <c r="P237" s="320">
        <f t="shared" si="47"/>
        <v>17.159383902685931</v>
      </c>
      <c r="Q237" s="272">
        <f t="shared" si="48"/>
        <v>0.95978622210874953</v>
      </c>
      <c r="R237" s="106">
        <f t="shared" si="49"/>
        <v>1.122793017456359</v>
      </c>
      <c r="S237" s="18">
        <v>2</v>
      </c>
      <c r="T237" s="16"/>
      <c r="U237" s="16"/>
      <c r="V237" s="16"/>
      <c r="W237" s="18">
        <v>56</v>
      </c>
      <c r="X237" s="18">
        <v>60</v>
      </c>
      <c r="Y237" s="16"/>
      <c r="Z237" s="16"/>
      <c r="AA237" s="16"/>
      <c r="AB237" s="18">
        <v>84</v>
      </c>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row>
    <row r="238" spans="1:63">
      <c r="A238" s="16"/>
      <c r="B238" s="38">
        <v>85</v>
      </c>
      <c r="C238" s="61">
        <v>24.1</v>
      </c>
      <c r="D238" s="38" t="s">
        <v>481</v>
      </c>
      <c r="E238" s="38">
        <v>601.45000000000005</v>
      </c>
      <c r="F238" s="38">
        <v>795.7</v>
      </c>
      <c r="G238" s="38">
        <v>24.12</v>
      </c>
      <c r="H238" s="38">
        <v>47.1</v>
      </c>
      <c r="I238" s="61">
        <v>169.4</v>
      </c>
      <c r="J238" s="38">
        <v>3081</v>
      </c>
      <c r="K238" s="23">
        <f t="shared" si="50"/>
        <v>86.638952399999994</v>
      </c>
      <c r="L238" s="135">
        <f t="shared" si="43"/>
        <v>129.22614997947838</v>
      </c>
      <c r="M238" s="39">
        <f t="shared" si="44"/>
        <v>19093.40370025851</v>
      </c>
      <c r="N238" s="63">
        <f t="shared" si="45"/>
        <v>478.57376500000009</v>
      </c>
      <c r="O238" s="63">
        <f t="shared" si="46"/>
        <v>460.53289725023524</v>
      </c>
      <c r="P238" s="321">
        <f t="shared" si="47"/>
        <v>18.040867749764857</v>
      </c>
      <c r="Q238" s="274">
        <f t="shared" si="48"/>
        <v>0.96230284844434621</v>
      </c>
      <c r="R238" s="106">
        <f t="shared" si="49"/>
        <v>1.1228863579682433</v>
      </c>
      <c r="S238" s="18">
        <v>2</v>
      </c>
      <c r="T238" s="16"/>
      <c r="U238" s="16"/>
      <c r="V238" s="16"/>
      <c r="W238" s="18">
        <v>60</v>
      </c>
      <c r="X238" s="18">
        <v>64</v>
      </c>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row>
    <row r="239" spans="1:63">
      <c r="A239" s="16"/>
      <c r="B239" s="38">
        <v>85</v>
      </c>
      <c r="C239" s="61">
        <v>24.1</v>
      </c>
      <c r="D239" s="38" t="s">
        <v>481</v>
      </c>
      <c r="E239" s="38">
        <v>601.29999999999995</v>
      </c>
      <c r="F239" s="38">
        <v>881.3</v>
      </c>
      <c r="G239" s="38">
        <v>24.12</v>
      </c>
      <c r="H239" s="38">
        <v>52.27</v>
      </c>
      <c r="I239" s="61">
        <v>165.7</v>
      </c>
      <c r="J239" s="38">
        <v>3274</v>
      </c>
      <c r="K239" s="23">
        <f t="shared" si="50"/>
        <v>90.055298799999974</v>
      </c>
      <c r="L239" s="135">
        <f t="shared" si="43"/>
        <v>140.38744818596035</v>
      </c>
      <c r="M239" s="39">
        <f t="shared" si="44"/>
        <v>21181.720640010688</v>
      </c>
      <c r="N239" s="63">
        <f t="shared" si="45"/>
        <v>529.92568999999992</v>
      </c>
      <c r="O239" s="63">
        <f t="shared" si="46"/>
        <v>510.90310183705782</v>
      </c>
      <c r="P239" s="322">
        <f t="shared" si="47"/>
        <v>19.0225881629421</v>
      </c>
      <c r="Q239" s="215">
        <f t="shared" si="48"/>
        <v>0.96410329123137606</v>
      </c>
      <c r="R239" s="106">
        <f t="shared" si="49"/>
        <v>1.1231664726426078</v>
      </c>
      <c r="S239" s="18">
        <v>3</v>
      </c>
      <c r="T239" s="18">
        <v>45</v>
      </c>
      <c r="U239" s="18">
        <v>45</v>
      </c>
      <c r="V239" s="18">
        <v>46</v>
      </c>
      <c r="W239" s="18">
        <v>66</v>
      </c>
      <c r="X239" s="18">
        <v>69</v>
      </c>
      <c r="Y239" s="18">
        <v>69</v>
      </c>
      <c r="Z239" s="18">
        <v>59</v>
      </c>
      <c r="AA239" s="18">
        <v>63</v>
      </c>
      <c r="AB239" s="18">
        <v>86</v>
      </c>
      <c r="AC239" s="18">
        <v>52</v>
      </c>
      <c r="AD239" s="18">
        <v>24</v>
      </c>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row>
    <row r="240" spans="1:63">
      <c r="A240" s="16"/>
      <c r="B240" s="38">
        <v>85</v>
      </c>
      <c r="C240" s="61">
        <v>24.1</v>
      </c>
      <c r="D240" s="38" t="s">
        <v>481</v>
      </c>
      <c r="E240" s="38">
        <v>601.25</v>
      </c>
      <c r="F240" s="38">
        <v>965.3</v>
      </c>
      <c r="G240" s="38">
        <v>24.12</v>
      </c>
      <c r="H240" s="38">
        <v>57.35</v>
      </c>
      <c r="I240" s="61">
        <v>164.7</v>
      </c>
      <c r="J240" s="38">
        <v>3466</v>
      </c>
      <c r="K240" s="23">
        <f t="shared" si="50"/>
        <v>94.761133200000003</v>
      </c>
      <c r="L240" s="135">
        <f t="shared" si="43"/>
        <v>149.52267996912929</v>
      </c>
      <c r="M240" s="39">
        <f t="shared" si="44"/>
        <v>23232.357898948143</v>
      </c>
      <c r="N240" s="63">
        <f t="shared" si="45"/>
        <v>580.38662499999998</v>
      </c>
      <c r="O240" s="63">
        <f t="shared" si="46"/>
        <v>560.36447252262917</v>
      </c>
      <c r="P240" s="323">
        <f t="shared" si="47"/>
        <v>20.02215247737081</v>
      </c>
      <c r="Q240" s="275">
        <f t="shared" si="48"/>
        <v>0.96550204361209946</v>
      </c>
      <c r="R240" s="106">
        <f t="shared" si="49"/>
        <v>1.1232598752598753</v>
      </c>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row>
    <row r="241" spans="1:63">
      <c r="A241" s="16"/>
      <c r="B241" s="38">
        <v>85</v>
      </c>
      <c r="C241" s="61">
        <v>24.1</v>
      </c>
      <c r="D241" s="38" t="s">
        <v>481</v>
      </c>
      <c r="E241" s="38">
        <v>601.1</v>
      </c>
      <c r="F241" s="38">
        <v>1055.4000000000001</v>
      </c>
      <c r="G241" s="38">
        <v>24.13</v>
      </c>
      <c r="H241" s="38">
        <v>62.8</v>
      </c>
      <c r="I241" s="61">
        <v>163.69999999999999</v>
      </c>
      <c r="J241" s="38">
        <v>3665</v>
      </c>
      <c r="K241" s="23">
        <f t="shared" si="50"/>
        <v>99.593442999999994</v>
      </c>
      <c r="L241" s="135">
        <f t="shared" si="43"/>
        <v>159.07334475952212</v>
      </c>
      <c r="M241" s="39">
        <f t="shared" si="44"/>
        <v>25430.891155492998</v>
      </c>
      <c r="N241" s="63">
        <f t="shared" si="45"/>
        <v>634.40094000000011</v>
      </c>
      <c r="O241" s="63">
        <f t="shared" si="46"/>
        <v>613.64740358204608</v>
      </c>
      <c r="P241" s="324">
        <f t="shared" si="47"/>
        <v>20.753536417954024</v>
      </c>
      <c r="Q241" s="276">
        <f t="shared" si="48"/>
        <v>0.96728640342501071</v>
      </c>
      <c r="R241" s="106">
        <f t="shared" si="49"/>
        <v>1.1240059890201297</v>
      </c>
      <c r="S241" s="18">
        <v>3</v>
      </c>
      <c r="T241" s="18">
        <v>49</v>
      </c>
      <c r="U241" s="18">
        <v>50</v>
      </c>
      <c r="V241" s="18">
        <v>50</v>
      </c>
      <c r="W241" s="18">
        <v>81</v>
      </c>
      <c r="X241" s="18">
        <v>83</v>
      </c>
      <c r="Y241" s="18">
        <v>74</v>
      </c>
      <c r="Z241" s="18">
        <v>67</v>
      </c>
      <c r="AA241" s="18">
        <v>73</v>
      </c>
      <c r="AB241" s="18">
        <v>92</v>
      </c>
      <c r="AC241" s="18">
        <v>60</v>
      </c>
      <c r="AD241" s="18">
        <v>24</v>
      </c>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row>
    <row r="242" spans="1:63">
      <c r="A242" s="16"/>
      <c r="B242" s="38">
        <v>85</v>
      </c>
      <c r="C242" s="61">
        <v>24.1</v>
      </c>
      <c r="D242" s="38" t="s">
        <v>481</v>
      </c>
      <c r="E242" s="38">
        <v>601</v>
      </c>
      <c r="F242" s="38">
        <v>1131</v>
      </c>
      <c r="G242" s="38">
        <v>24.125</v>
      </c>
      <c r="H242" s="38">
        <v>67.3</v>
      </c>
      <c r="I242" s="61">
        <v>162.9</v>
      </c>
      <c r="J242" s="38">
        <v>3824</v>
      </c>
      <c r="K242" s="23">
        <f t="shared" si="50"/>
        <v>103.40631359999999</v>
      </c>
      <c r="L242" s="135">
        <f t="shared" si="43"/>
        <v>166.78957905359547</v>
      </c>
      <c r="M242" s="39">
        <f t="shared" si="44"/>
        <v>27245.053615934368</v>
      </c>
      <c r="N242" s="63">
        <f t="shared" si="45"/>
        <v>679.73099999999999</v>
      </c>
      <c r="O242" s="63">
        <f t="shared" si="46"/>
        <v>657.28691848441667</v>
      </c>
      <c r="P242" s="325">
        <f t="shared" si="47"/>
        <v>22.444081515583321</v>
      </c>
      <c r="Q242" s="249">
        <f t="shared" si="48"/>
        <v>0.96698093581787015</v>
      </c>
      <c r="R242" s="106">
        <f t="shared" si="49"/>
        <v>1.1239600665557403</v>
      </c>
      <c r="S242" s="18">
        <v>2</v>
      </c>
      <c r="T242" s="16"/>
      <c r="U242" s="16"/>
      <c r="V242" s="16"/>
      <c r="W242" s="18">
        <v>88</v>
      </c>
      <c r="X242" s="18">
        <v>88</v>
      </c>
      <c r="Y242" s="18">
        <v>76</v>
      </c>
      <c r="Z242" s="18">
        <v>71</v>
      </c>
      <c r="AA242" s="18">
        <v>69</v>
      </c>
      <c r="AB242" s="18">
        <v>96</v>
      </c>
      <c r="AC242" s="18">
        <v>66</v>
      </c>
      <c r="AD242" s="18">
        <v>24</v>
      </c>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row>
    <row r="243" spans="1:63">
      <c r="A243" s="16"/>
      <c r="B243" s="38">
        <v>85</v>
      </c>
      <c r="C243" s="61">
        <v>24.1</v>
      </c>
      <c r="D243" s="38" t="s">
        <v>481</v>
      </c>
      <c r="E243" s="38">
        <v>600.95000000000005</v>
      </c>
      <c r="F243" s="38">
        <v>1202.2</v>
      </c>
      <c r="G243" s="38">
        <v>24.13</v>
      </c>
      <c r="H243" s="38">
        <v>71.599999999999994</v>
      </c>
      <c r="I243" s="61">
        <v>162.4</v>
      </c>
      <c r="J243" s="38">
        <v>3968</v>
      </c>
      <c r="K243" s="23">
        <f t="shared" si="50"/>
        <v>106.97093120000001</v>
      </c>
      <c r="L243" s="135">
        <f t="shared" si="43"/>
        <v>173.60321026913283</v>
      </c>
      <c r="M243" s="39">
        <f t="shared" si="44"/>
        <v>28977.62301013825</v>
      </c>
      <c r="N243" s="63">
        <f t="shared" si="45"/>
        <v>722.4620900000001</v>
      </c>
      <c r="O243" s="63">
        <f t="shared" si="46"/>
        <v>699.23004323463601</v>
      </c>
      <c r="P243" s="326">
        <f t="shared" si="47"/>
        <v>23.232046765364089</v>
      </c>
      <c r="Q243" s="257">
        <f t="shared" si="48"/>
        <v>0.96784323068721279</v>
      </c>
      <c r="R243" s="106">
        <f t="shared" si="49"/>
        <v>1.1242865463016889</v>
      </c>
      <c r="S243" s="18">
        <v>1</v>
      </c>
      <c r="T243" s="16"/>
      <c r="U243" s="16"/>
      <c r="V243" s="16"/>
      <c r="W243" s="18">
        <v>98</v>
      </c>
      <c r="X243" s="18">
        <v>100</v>
      </c>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row>
    <row r="244" spans="1:63">
      <c r="A244" s="16" t="s">
        <v>579</v>
      </c>
      <c r="B244" s="38">
        <v>85</v>
      </c>
      <c r="C244" s="61">
        <v>24.1</v>
      </c>
      <c r="D244" s="38" t="s">
        <v>481</v>
      </c>
      <c r="E244" s="38">
        <v>600.79999999999995</v>
      </c>
      <c r="F244" s="38">
        <v>1296.2</v>
      </c>
      <c r="G244" s="38">
        <v>24.13</v>
      </c>
      <c r="H244" s="38">
        <v>77.25</v>
      </c>
      <c r="I244" s="61">
        <v>161.80000000000001</v>
      </c>
      <c r="J244" s="38">
        <v>4150</v>
      </c>
      <c r="K244" s="23">
        <f t="shared" si="50"/>
        <v>111.46401999999999</v>
      </c>
      <c r="L244" s="135">
        <f t="shared" si="43"/>
        <v>182.23915488460335</v>
      </c>
      <c r="M244" s="39">
        <f t="shared" si="44"/>
        <v>31252.706989335587</v>
      </c>
      <c r="N244" s="63">
        <f t="shared" si="45"/>
        <v>778.75695999999994</v>
      </c>
      <c r="O244" s="63">
        <f t="shared" si="46"/>
        <v>754.12781965266777</v>
      </c>
      <c r="P244" s="327">
        <f t="shared" si="47"/>
        <v>24.629140347332168</v>
      </c>
      <c r="Q244" s="259">
        <f t="shared" si="48"/>
        <v>0.96837377819733106</v>
      </c>
      <c r="R244" s="106">
        <f t="shared" si="49"/>
        <v>1.1245672436750997</v>
      </c>
      <c r="S244" s="18">
        <v>1</v>
      </c>
      <c r="T244" s="16" t="s">
        <v>580</v>
      </c>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row>
  </sheetData>
  <dataValidations count="1">
    <dataValidation type="list" allowBlank="1" showErrorMessage="1" sqref="L4 L23 L70 L127 L135 L178 L204" xr:uid="{00000000-0002-0000-0700-000000000000}">
      <formula1>"no,12V BeQuite 80mm, side distance 10cm,3.8 V Ultrafan 30mm, top cooled"</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P33"/>
  <sheetViews>
    <sheetView topLeftCell="A10" workbookViewId="0">
      <selection activeCell="L24" sqref="L24"/>
    </sheetView>
  </sheetViews>
  <sheetFormatPr defaultColWidth="12.7109375" defaultRowHeight="15.75" customHeight="1"/>
  <cols>
    <col min="2" max="2" width="13.42578125" customWidth="1"/>
    <col min="6" max="6" width="18.28515625" customWidth="1"/>
  </cols>
  <sheetData>
    <row r="2" spans="2:16">
      <c r="B2" s="65" t="s">
        <v>581</v>
      </c>
      <c r="C2" s="65"/>
      <c r="D2" s="66"/>
      <c r="E2" s="67"/>
      <c r="F2" s="68" t="s">
        <v>582</v>
      </c>
      <c r="G2" s="328"/>
      <c r="H2" s="328"/>
      <c r="I2" s="328"/>
    </row>
    <row r="3" spans="2:16">
      <c r="B3" s="3"/>
      <c r="D3" s="61"/>
      <c r="E3" s="25"/>
      <c r="F3" s="329"/>
    </row>
    <row r="4" spans="2:16">
      <c r="B4" s="330" t="s">
        <v>583</v>
      </c>
      <c r="D4" s="61"/>
      <c r="E4" s="25"/>
      <c r="F4" s="329"/>
    </row>
    <row r="5" spans="2:16">
      <c r="B5" s="331" t="s">
        <v>584</v>
      </c>
      <c r="C5" s="332" t="s">
        <v>585</v>
      </c>
      <c r="D5" s="332" t="s">
        <v>586</v>
      </c>
      <c r="E5" s="332" t="s">
        <v>587</v>
      </c>
      <c r="F5" s="332" t="s">
        <v>588</v>
      </c>
      <c r="G5" s="333" t="s">
        <v>589</v>
      </c>
      <c r="H5" s="333" t="s">
        <v>590</v>
      </c>
      <c r="I5" s="333" t="s">
        <v>591</v>
      </c>
      <c r="J5" s="334" t="s">
        <v>592</v>
      </c>
      <c r="K5" s="333" t="s">
        <v>591</v>
      </c>
      <c r="L5" s="333" t="s">
        <v>593</v>
      </c>
      <c r="M5" s="333" t="s">
        <v>589</v>
      </c>
      <c r="N5" s="331" t="s">
        <v>594</v>
      </c>
      <c r="O5" s="333" t="s">
        <v>595</v>
      </c>
      <c r="P5" s="335" t="s">
        <v>596</v>
      </c>
    </row>
    <row r="6" spans="2:16">
      <c r="B6" s="336" t="s">
        <v>597</v>
      </c>
      <c r="C6" s="337">
        <v>124</v>
      </c>
      <c r="D6" s="337">
        <v>-0.7</v>
      </c>
      <c r="E6" s="18">
        <v>192</v>
      </c>
      <c r="F6" s="18">
        <v>-0.79600000000000004</v>
      </c>
      <c r="G6" s="338">
        <v>1</v>
      </c>
      <c r="H6" s="339">
        <f t="shared" ref="H6:H12" si="0">C6*G6^D6</f>
        <v>124</v>
      </c>
      <c r="I6" s="338">
        <v>28</v>
      </c>
      <c r="J6" s="340">
        <f t="shared" ref="J6:J12" si="1">H6*I6^2/1000</f>
        <v>97.215999999999994</v>
      </c>
      <c r="K6" s="341">
        <v>28</v>
      </c>
      <c r="L6" s="342">
        <v>150</v>
      </c>
      <c r="M6" s="343">
        <f t="shared" ref="M6:M12" si="2">((L6/K6^2*1000)/C6)^(1/D6)</f>
        <v>0.53817504452105958</v>
      </c>
      <c r="N6" s="341">
        <f t="shared" ref="N6:N11" si="3">I6</f>
        <v>28</v>
      </c>
      <c r="O6" s="344">
        <f t="shared" ref="O6:O11" si="4">((0.9*H6)/E6)^(1/F6)</f>
        <v>1.9770899329603089</v>
      </c>
      <c r="P6" s="343">
        <f t="shared" ref="P6:P11" si="5">O6/N6</f>
        <v>7.061035474858246E-2</v>
      </c>
    </row>
    <row r="7" spans="2:16">
      <c r="B7" s="336" t="s">
        <v>598</v>
      </c>
      <c r="C7" s="337">
        <v>153</v>
      </c>
      <c r="D7" s="337">
        <v>-0.71299999999999997</v>
      </c>
      <c r="E7" s="18">
        <v>240</v>
      </c>
      <c r="F7" s="18">
        <v>-0.79600000000000004</v>
      </c>
      <c r="G7" s="338">
        <v>1</v>
      </c>
      <c r="H7" s="339">
        <f t="shared" si="0"/>
        <v>153</v>
      </c>
      <c r="I7" s="338">
        <v>28</v>
      </c>
      <c r="J7" s="340">
        <f t="shared" si="1"/>
        <v>119.952</v>
      </c>
      <c r="K7" s="341">
        <v>28</v>
      </c>
      <c r="L7" s="342">
        <v>150</v>
      </c>
      <c r="M7" s="343">
        <f t="shared" si="2"/>
        <v>0.73086579311099653</v>
      </c>
      <c r="N7" s="341">
        <f t="shared" si="3"/>
        <v>28</v>
      </c>
      <c r="O7" s="344">
        <f t="shared" si="4"/>
        <v>2.0096118722347125</v>
      </c>
      <c r="P7" s="343">
        <f t="shared" si="5"/>
        <v>7.1771852579811155E-2</v>
      </c>
    </row>
    <row r="8" spans="2:16">
      <c r="B8" s="336" t="s">
        <v>599</v>
      </c>
      <c r="C8" s="337">
        <v>196</v>
      </c>
      <c r="D8" s="337">
        <v>-0.73399999999999999</v>
      </c>
      <c r="E8" s="18">
        <v>300</v>
      </c>
      <c r="F8" s="18">
        <v>-0.79600000000000004</v>
      </c>
      <c r="G8" s="338">
        <v>1</v>
      </c>
      <c r="H8" s="339">
        <f t="shared" si="0"/>
        <v>196</v>
      </c>
      <c r="I8" s="338">
        <v>28</v>
      </c>
      <c r="J8" s="340">
        <f t="shared" si="1"/>
        <v>153.66399999999999</v>
      </c>
      <c r="K8" s="341">
        <v>28</v>
      </c>
      <c r="L8" s="342">
        <v>150</v>
      </c>
      <c r="M8" s="343">
        <f t="shared" si="2"/>
        <v>1.0334253752644682</v>
      </c>
      <c r="N8" s="341">
        <f t="shared" si="3"/>
        <v>28</v>
      </c>
      <c r="O8" s="344">
        <f t="shared" si="4"/>
        <v>1.9486191995335274</v>
      </c>
      <c r="P8" s="343">
        <f t="shared" si="5"/>
        <v>6.9593542840483122E-2</v>
      </c>
    </row>
    <row r="9" spans="2:16">
      <c r="B9" s="336" t="s">
        <v>600</v>
      </c>
      <c r="C9" s="337">
        <v>262</v>
      </c>
      <c r="D9" s="337">
        <v>-0.74</v>
      </c>
      <c r="E9" s="18">
        <v>420</v>
      </c>
      <c r="F9" s="18">
        <v>-0.79600000000000004</v>
      </c>
      <c r="G9" s="338">
        <v>1</v>
      </c>
      <c r="H9" s="339">
        <f t="shared" si="0"/>
        <v>262</v>
      </c>
      <c r="I9" s="338">
        <v>28</v>
      </c>
      <c r="J9" s="340">
        <f t="shared" si="1"/>
        <v>205.40799999999999</v>
      </c>
      <c r="K9" s="341">
        <v>28</v>
      </c>
      <c r="L9" s="342">
        <v>150</v>
      </c>
      <c r="M9" s="343">
        <f t="shared" si="2"/>
        <v>1.5293071637495783</v>
      </c>
      <c r="N9" s="341">
        <f t="shared" si="3"/>
        <v>28</v>
      </c>
      <c r="O9" s="344">
        <f t="shared" si="4"/>
        <v>2.0651739834476723</v>
      </c>
      <c r="P9" s="343">
        <f t="shared" si="5"/>
        <v>7.375621369455973E-2</v>
      </c>
    </row>
    <row r="10" spans="2:16">
      <c r="B10" s="336" t="s">
        <v>601</v>
      </c>
      <c r="C10" s="337">
        <v>393</v>
      </c>
      <c r="D10" s="337">
        <v>-0.77900000000000003</v>
      </c>
      <c r="E10" s="18">
        <v>658</v>
      </c>
      <c r="F10" s="18">
        <v>-0.84699999999999998</v>
      </c>
      <c r="G10" s="338">
        <v>1</v>
      </c>
      <c r="H10" s="339">
        <f t="shared" si="0"/>
        <v>393</v>
      </c>
      <c r="I10" s="338">
        <v>28</v>
      </c>
      <c r="J10" s="340">
        <f t="shared" si="1"/>
        <v>308.11200000000002</v>
      </c>
      <c r="K10" s="341">
        <v>28</v>
      </c>
      <c r="L10" s="342">
        <v>150</v>
      </c>
      <c r="M10" s="343">
        <f t="shared" si="2"/>
        <v>2.5194513365453686</v>
      </c>
      <c r="N10" s="341">
        <f t="shared" si="3"/>
        <v>28</v>
      </c>
      <c r="O10" s="344">
        <f t="shared" si="4"/>
        <v>2.081081363178078</v>
      </c>
      <c r="P10" s="343">
        <f t="shared" si="5"/>
        <v>7.4324334399217068E-2</v>
      </c>
    </row>
    <row r="11" spans="2:16">
      <c r="B11" s="336" t="s">
        <v>602</v>
      </c>
      <c r="C11" s="337">
        <v>508</v>
      </c>
      <c r="D11" s="337">
        <v>-0.70799999999999996</v>
      </c>
      <c r="E11" s="18">
        <v>853</v>
      </c>
      <c r="F11" s="18">
        <v>0.84699999999999998</v>
      </c>
      <c r="G11" s="338">
        <v>1</v>
      </c>
      <c r="H11" s="339">
        <f t="shared" si="0"/>
        <v>508</v>
      </c>
      <c r="I11" s="338">
        <v>28</v>
      </c>
      <c r="J11" s="340">
        <f t="shared" si="1"/>
        <v>398.27199999999999</v>
      </c>
      <c r="K11" s="341">
        <v>28</v>
      </c>
      <c r="L11" s="342">
        <v>150</v>
      </c>
      <c r="M11" s="343">
        <f t="shared" si="2"/>
        <v>3.9718704888409282</v>
      </c>
      <c r="N11" s="341">
        <f t="shared" si="3"/>
        <v>28</v>
      </c>
      <c r="O11" s="344">
        <f t="shared" si="4"/>
        <v>0.47888673849986668</v>
      </c>
      <c r="P11" s="343">
        <f t="shared" si="5"/>
        <v>1.7103097803566666E-2</v>
      </c>
    </row>
    <row r="12" spans="2:16">
      <c r="B12" s="345" t="s">
        <v>603</v>
      </c>
      <c r="C12" s="346">
        <v>196</v>
      </c>
      <c r="D12" s="346">
        <v>-0.73399999999999999</v>
      </c>
      <c r="E12" s="347" t="s">
        <v>323</v>
      </c>
      <c r="F12" s="347" t="s">
        <v>323</v>
      </c>
      <c r="G12" s="348">
        <v>1</v>
      </c>
      <c r="H12" s="349">
        <f t="shared" si="0"/>
        <v>196</v>
      </c>
      <c r="I12" s="348">
        <v>28</v>
      </c>
      <c r="J12" s="350">
        <f t="shared" si="1"/>
        <v>153.66399999999999</v>
      </c>
      <c r="K12" s="351">
        <v>28</v>
      </c>
      <c r="L12" s="352">
        <v>150</v>
      </c>
      <c r="M12" s="353">
        <f t="shared" si="2"/>
        <v>1.0334253752644682</v>
      </c>
      <c r="N12" s="354" t="s">
        <v>323</v>
      </c>
      <c r="O12" s="355" t="s">
        <v>323</v>
      </c>
      <c r="P12" s="356" t="s">
        <v>323</v>
      </c>
    </row>
    <row r="15" spans="2:16">
      <c r="B15" s="331" t="s">
        <v>604</v>
      </c>
      <c r="C15" s="357"/>
      <c r="D15" s="358"/>
      <c r="F15" s="359" t="s">
        <v>605</v>
      </c>
      <c r="G15" s="360"/>
      <c r="H15" s="361"/>
    </row>
    <row r="16" spans="2:16">
      <c r="B16" s="362" t="s">
        <v>606</v>
      </c>
      <c r="C16" s="338">
        <v>4.4000000000000004</v>
      </c>
      <c r="D16" s="363"/>
      <c r="F16" s="362" t="s">
        <v>607</v>
      </c>
      <c r="G16" s="364">
        <v>4.7699999999999996</v>
      </c>
      <c r="H16" s="363" t="s">
        <v>285</v>
      </c>
    </row>
    <row r="17" spans="2:8">
      <c r="B17" s="362" t="s">
        <v>608</v>
      </c>
      <c r="C17" s="338">
        <v>156</v>
      </c>
      <c r="D17" s="363" t="s">
        <v>609</v>
      </c>
      <c r="F17" s="362" t="s">
        <v>610</v>
      </c>
      <c r="G17" s="338">
        <v>600</v>
      </c>
      <c r="H17" s="363" t="s">
        <v>27</v>
      </c>
    </row>
    <row r="18" spans="2:8">
      <c r="B18" s="362" t="s">
        <v>611</v>
      </c>
      <c r="C18" s="365">
        <f>0.21+1.065</f>
        <v>1.2749999999999999</v>
      </c>
      <c r="D18" s="363" t="s">
        <v>238</v>
      </c>
      <c r="F18" s="362" t="s">
        <v>612</v>
      </c>
      <c r="G18" s="338">
        <v>150</v>
      </c>
      <c r="H18" s="363" t="s">
        <v>125</v>
      </c>
    </row>
    <row r="19" spans="2:8">
      <c r="B19" s="366" t="s">
        <v>607</v>
      </c>
      <c r="C19" s="367">
        <f>(8.8541878*10^-12*C16*C17/C18)*10^9</f>
        <v>4.7666780438588239</v>
      </c>
      <c r="D19" s="368" t="s">
        <v>285</v>
      </c>
      <c r="F19" s="366" t="s">
        <v>613</v>
      </c>
      <c r="G19" s="369">
        <f>((G16*10^-12)/2)*G17^2*G18*1000</f>
        <v>0.12878999999999999</v>
      </c>
      <c r="H19" s="368" t="s">
        <v>118</v>
      </c>
    </row>
    <row r="22" spans="2:8">
      <c r="B22" s="359" t="s">
        <v>614</v>
      </c>
      <c r="C22" s="360"/>
      <c r="D22" s="370">
        <f>20+C23*24</f>
        <v>128</v>
      </c>
      <c r="F22" s="331" t="s">
        <v>615</v>
      </c>
      <c r="G22" s="371"/>
      <c r="H22" s="358"/>
    </row>
    <row r="23" spans="2:8">
      <c r="B23" s="372" t="s">
        <v>616</v>
      </c>
      <c r="C23" s="342">
        <v>4.5</v>
      </c>
      <c r="D23" s="373" t="s">
        <v>617</v>
      </c>
      <c r="F23" s="362" t="s">
        <v>618</v>
      </c>
      <c r="G23" s="342">
        <v>166.3</v>
      </c>
      <c r="H23" s="363" t="s">
        <v>244</v>
      </c>
    </row>
    <row r="24" spans="2:8">
      <c r="B24" s="374" t="s">
        <v>619</v>
      </c>
      <c r="C24" s="349">
        <f>IF(D22&lt;120,120,D22)</f>
        <v>128</v>
      </c>
      <c r="D24" s="375" t="s">
        <v>131</v>
      </c>
      <c r="F24" s="362" t="s">
        <v>620</v>
      </c>
      <c r="G24" s="342">
        <v>56.2</v>
      </c>
      <c r="H24" s="363" t="s">
        <v>244</v>
      </c>
    </row>
    <row r="25" spans="2:8" thickBot="1">
      <c r="F25" s="376" t="s">
        <v>621</v>
      </c>
      <c r="G25" s="65">
        <v>28</v>
      </c>
      <c r="H25" s="377"/>
    </row>
    <row r="26" spans="2:8" ht="13.15">
      <c r="B26" s="331" t="s">
        <v>622</v>
      </c>
      <c r="C26" s="357"/>
      <c r="D26" s="358"/>
      <c r="F26" s="376" t="s">
        <v>623</v>
      </c>
      <c r="G26" s="65">
        <v>1</v>
      </c>
      <c r="H26" s="377"/>
    </row>
    <row r="27" spans="2:8" ht="13.15">
      <c r="B27" s="362" t="s">
        <v>624</v>
      </c>
      <c r="C27" s="338">
        <v>92.2</v>
      </c>
      <c r="D27" s="363" t="s">
        <v>238</v>
      </c>
      <c r="F27" s="362" t="s">
        <v>625</v>
      </c>
      <c r="G27" s="337">
        <f>G25/G26</f>
        <v>28</v>
      </c>
      <c r="H27" s="363"/>
    </row>
    <row r="28" spans="2:8" ht="13.15">
      <c r="B28" s="362" t="s">
        <v>626</v>
      </c>
      <c r="C28" s="338">
        <v>1</v>
      </c>
      <c r="D28" s="363" t="s">
        <v>238</v>
      </c>
      <c r="F28" s="362" t="s">
        <v>627</v>
      </c>
      <c r="G28" s="378">
        <f>SQRT(1-(G24/G23))</f>
        <v>0.81366855927556758</v>
      </c>
      <c r="H28" s="363"/>
    </row>
    <row r="29" spans="2:8" ht="13.15">
      <c r="B29" s="362" t="s">
        <v>628</v>
      </c>
      <c r="C29" s="338">
        <v>1650</v>
      </c>
      <c r="D29" s="363"/>
      <c r="F29" s="362" t="s">
        <v>629</v>
      </c>
      <c r="G29" s="378">
        <f>G23/G27^2</f>
        <v>0.21211734693877551</v>
      </c>
      <c r="H29" s="363" t="s">
        <v>244</v>
      </c>
    </row>
    <row r="30" spans="2:8" ht="13.9" thickBot="1">
      <c r="B30" s="362" t="s">
        <v>630</v>
      </c>
      <c r="C30" s="338">
        <v>125</v>
      </c>
      <c r="D30" s="363" t="s">
        <v>609</v>
      </c>
      <c r="F30" s="366" t="s">
        <v>631</v>
      </c>
      <c r="G30" s="367">
        <f>G23/G24</f>
        <v>2.9590747330960854</v>
      </c>
      <c r="H30" s="368"/>
    </row>
    <row r="31" spans="2:8" ht="13.15">
      <c r="B31" s="362" t="s">
        <v>632</v>
      </c>
      <c r="C31" s="338">
        <v>28</v>
      </c>
      <c r="D31" s="363"/>
    </row>
    <row r="32" spans="2:8">
      <c r="B32" s="362" t="s">
        <v>633</v>
      </c>
      <c r="C32" s="344">
        <f>C31^2/(C33*10^-6)</f>
        <v>116.70009926153675</v>
      </c>
      <c r="D32" s="363" t="s">
        <v>244</v>
      </c>
    </row>
    <row r="33" spans="2:4">
      <c r="B33" s="366" t="s">
        <v>634</v>
      </c>
      <c r="C33" s="349">
        <f>(((C27-C28)/1000)/(4*PI()*10^-7*C29*C30*10^-6))+((C28/1000)/(4*PI()*10^-7*1*C30*10^-6))</f>
        <v>6718074.8342208052</v>
      </c>
      <c r="D33" s="368" t="s">
        <v>635</v>
      </c>
    </row>
  </sheetData>
  <hyperlinks>
    <hyperlink ref="B4" r:id="rId1" xr:uid="{00000000-0004-0000-0800-000000000000}"/>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80"/>
  <sheetViews>
    <sheetView workbookViewId="0"/>
  </sheetViews>
  <sheetFormatPr defaultColWidth="12.7109375" defaultRowHeight="15.75" customHeight="1"/>
  <cols>
    <col min="1" max="1" width="21.140625" customWidth="1"/>
    <col min="3" max="3" width="15.7109375" customWidth="1"/>
    <col min="4" max="4" width="16.140625" customWidth="1"/>
    <col min="5" max="5" width="12.7109375" customWidth="1"/>
    <col min="6" max="6" width="12.28515625" customWidth="1"/>
    <col min="7" max="7" width="11.85546875" customWidth="1"/>
    <col min="8" max="8" width="20" customWidth="1"/>
    <col min="9" max="9" width="18.140625" customWidth="1"/>
    <col min="10" max="10" width="15" customWidth="1"/>
    <col min="11" max="11" width="17.28515625" customWidth="1"/>
    <col min="12" max="12" width="19.28515625" customWidth="1"/>
    <col min="13" max="13" width="18.7109375" customWidth="1"/>
    <col min="14" max="14" width="17.7109375" customWidth="1"/>
    <col min="15" max="16" width="14.28515625" customWidth="1"/>
  </cols>
  <sheetData>
    <row r="1" spans="1:26">
      <c r="A1" s="11" t="s">
        <v>636</v>
      </c>
      <c r="B1" s="3"/>
      <c r="C1" s="3"/>
      <c r="D1" s="11"/>
      <c r="E1" s="3"/>
    </row>
    <row r="2" spans="1:26">
      <c r="A2" s="379" t="s">
        <v>637</v>
      </c>
      <c r="B2" s="380">
        <v>600</v>
      </c>
      <c r="C2" s="381" t="s">
        <v>27</v>
      </c>
    </row>
    <row r="3" spans="1:26">
      <c r="A3" s="382" t="s">
        <v>638</v>
      </c>
      <c r="B3" s="20">
        <v>4</v>
      </c>
      <c r="C3" s="377" t="s">
        <v>639</v>
      </c>
    </row>
    <row r="4" spans="1:26">
      <c r="A4" s="382" t="s">
        <v>640</v>
      </c>
      <c r="B4" s="3">
        <v>150</v>
      </c>
      <c r="C4" s="377" t="s">
        <v>125</v>
      </c>
    </row>
    <row r="5" spans="1:26">
      <c r="A5" s="382" t="s">
        <v>641</v>
      </c>
      <c r="B5" s="20">
        <v>4</v>
      </c>
      <c r="C5" s="377" t="s">
        <v>282</v>
      </c>
    </row>
    <row r="6" spans="1:26">
      <c r="A6" s="383" t="s">
        <v>642</v>
      </c>
      <c r="B6" s="384">
        <v>0.5</v>
      </c>
      <c r="C6" s="385" t="s">
        <v>643</v>
      </c>
    </row>
    <row r="7" spans="1:26">
      <c r="A7" s="33" t="s">
        <v>644</v>
      </c>
      <c r="B7" s="33" t="s">
        <v>645</v>
      </c>
      <c r="C7" s="33" t="s">
        <v>646</v>
      </c>
      <c r="D7" s="33" t="s">
        <v>647</v>
      </c>
      <c r="E7" s="33" t="s">
        <v>648</v>
      </c>
      <c r="F7" s="33" t="s">
        <v>649</v>
      </c>
      <c r="G7" s="33" t="s">
        <v>650</v>
      </c>
      <c r="H7" s="33" t="s">
        <v>651</v>
      </c>
      <c r="I7" s="33" t="s">
        <v>652</v>
      </c>
      <c r="J7" s="33" t="s">
        <v>653</v>
      </c>
      <c r="K7" s="33" t="s">
        <v>654</v>
      </c>
      <c r="L7" s="33" t="s">
        <v>655</v>
      </c>
      <c r="M7" s="33" t="s">
        <v>656</v>
      </c>
      <c r="N7" s="11"/>
      <c r="O7" s="11"/>
      <c r="P7" s="11"/>
      <c r="Q7" s="11"/>
      <c r="R7" s="11"/>
      <c r="S7" s="11"/>
      <c r="T7" s="11"/>
      <c r="U7" s="11"/>
      <c r="V7" s="11"/>
      <c r="W7" s="11"/>
      <c r="X7" s="11"/>
      <c r="Y7" s="11"/>
      <c r="Z7" s="11"/>
    </row>
    <row r="8" spans="1:26">
      <c r="A8" s="3" t="s">
        <v>657</v>
      </c>
      <c r="B8" s="391" t="s">
        <v>658</v>
      </c>
      <c r="C8" s="386">
        <v>41.11</v>
      </c>
      <c r="D8" s="25">
        <v>32</v>
      </c>
      <c r="E8" s="25">
        <v>14.2</v>
      </c>
      <c r="F8" s="25">
        <v>0</v>
      </c>
      <c r="G8" s="25">
        <f t="shared" ref="G8:G35" si="0">D8*E8</f>
        <v>454.4</v>
      </c>
      <c r="H8" s="387">
        <f t="shared" ref="H8:H35" si="1">D8/1000*$B$3^2</f>
        <v>0.51200000000000001</v>
      </c>
      <c r="I8" s="387">
        <f t="shared" ref="I8:I35" si="2">($B$2*$B$3*$B$4*1000*(E8*10^-9)/$B$5)*$B$6</f>
        <v>0.63900000000000001</v>
      </c>
      <c r="J8" s="387">
        <f t="shared" ref="J8:J35" si="3">F8*10^-9*$B$2*$B$4*1000</f>
        <v>0</v>
      </c>
      <c r="K8" s="387">
        <f t="shared" ref="K8:K35" si="4">H8+I8+J8</f>
        <v>1.151</v>
      </c>
      <c r="L8" s="20">
        <f t="shared" ref="L8:L35" si="5">H8+I8</f>
        <v>1.151</v>
      </c>
      <c r="M8" s="20">
        <f t="shared" ref="M8:M35" si="6">H8+J8</f>
        <v>0.51200000000000001</v>
      </c>
    </row>
    <row r="9" spans="1:26">
      <c r="A9" s="3" t="s">
        <v>659</v>
      </c>
      <c r="B9" s="391" t="s">
        <v>660</v>
      </c>
      <c r="C9" s="386">
        <v>13.32</v>
      </c>
      <c r="D9" s="25">
        <v>70</v>
      </c>
      <c r="E9" s="25">
        <v>5.8</v>
      </c>
      <c r="F9" s="25">
        <v>0</v>
      </c>
      <c r="G9" s="25">
        <f t="shared" si="0"/>
        <v>406</v>
      </c>
      <c r="H9" s="387">
        <f t="shared" si="1"/>
        <v>1.1200000000000001</v>
      </c>
      <c r="I9" s="387">
        <f t="shared" si="2"/>
        <v>0.26100000000000001</v>
      </c>
      <c r="J9" s="387">
        <f t="shared" si="3"/>
        <v>0</v>
      </c>
      <c r="K9" s="387">
        <f t="shared" si="4"/>
        <v>1.3810000000000002</v>
      </c>
      <c r="L9" s="20">
        <f t="shared" si="5"/>
        <v>1.3810000000000002</v>
      </c>
      <c r="M9" s="20">
        <f t="shared" si="6"/>
        <v>1.1200000000000001</v>
      </c>
    </row>
    <row r="10" spans="1:26">
      <c r="A10" s="3" t="s">
        <v>661</v>
      </c>
      <c r="B10" s="391" t="s">
        <v>662</v>
      </c>
      <c r="C10" s="386">
        <v>12.8</v>
      </c>
      <c r="D10" s="25">
        <v>130</v>
      </c>
      <c r="E10" s="25">
        <v>3.3</v>
      </c>
      <c r="F10" s="25">
        <v>0</v>
      </c>
      <c r="G10" s="25">
        <f t="shared" si="0"/>
        <v>429</v>
      </c>
      <c r="H10" s="387">
        <f t="shared" si="1"/>
        <v>2.08</v>
      </c>
      <c r="I10" s="387">
        <f t="shared" si="2"/>
        <v>0.14850000000000002</v>
      </c>
      <c r="J10" s="387">
        <f t="shared" si="3"/>
        <v>0</v>
      </c>
      <c r="K10" s="387">
        <f t="shared" si="4"/>
        <v>2.2284999999999999</v>
      </c>
      <c r="L10" s="20">
        <f t="shared" si="5"/>
        <v>2.2284999999999999</v>
      </c>
      <c r="M10" s="20">
        <f t="shared" si="6"/>
        <v>2.08</v>
      </c>
    </row>
    <row r="11" spans="1:26">
      <c r="A11" s="11" t="s">
        <v>663</v>
      </c>
      <c r="B11" s="391" t="s">
        <v>664</v>
      </c>
      <c r="C11" s="386">
        <v>8.3000000000000007</v>
      </c>
      <c r="D11" s="25">
        <v>62</v>
      </c>
      <c r="E11" s="25">
        <v>22</v>
      </c>
      <c r="F11" s="25">
        <v>44</v>
      </c>
      <c r="G11" s="25">
        <f t="shared" si="0"/>
        <v>1364</v>
      </c>
      <c r="H11" s="387">
        <f t="shared" si="1"/>
        <v>0.99199999999999999</v>
      </c>
      <c r="I11" s="387">
        <f t="shared" si="2"/>
        <v>0.9900000000000001</v>
      </c>
      <c r="J11" s="387">
        <f t="shared" si="3"/>
        <v>3.96</v>
      </c>
      <c r="K11" s="387">
        <f t="shared" si="4"/>
        <v>5.9420000000000002</v>
      </c>
      <c r="L11" s="20">
        <f t="shared" si="5"/>
        <v>1.9820000000000002</v>
      </c>
      <c r="M11" s="20">
        <f t="shared" si="6"/>
        <v>4.952</v>
      </c>
    </row>
    <row r="12" spans="1:26">
      <c r="A12" s="3" t="s">
        <v>665</v>
      </c>
      <c r="B12" s="391" t="s">
        <v>666</v>
      </c>
      <c r="C12" s="386">
        <v>10.25</v>
      </c>
      <c r="D12" s="25">
        <v>49</v>
      </c>
      <c r="E12" s="25">
        <v>28</v>
      </c>
      <c r="F12" s="25">
        <v>56</v>
      </c>
      <c r="G12" s="25">
        <f t="shared" si="0"/>
        <v>1372</v>
      </c>
      <c r="H12" s="387">
        <f t="shared" si="1"/>
        <v>0.78400000000000003</v>
      </c>
      <c r="I12" s="387">
        <f t="shared" si="2"/>
        <v>1.26</v>
      </c>
      <c r="J12" s="387">
        <f t="shared" si="3"/>
        <v>5.04</v>
      </c>
      <c r="K12" s="387">
        <f t="shared" si="4"/>
        <v>7.0839999999999996</v>
      </c>
      <c r="L12" s="20">
        <f t="shared" si="5"/>
        <v>2.044</v>
      </c>
      <c r="M12" s="20">
        <f t="shared" si="6"/>
        <v>5.8239999999999998</v>
      </c>
    </row>
    <row r="13" spans="1:26">
      <c r="A13" s="3" t="s">
        <v>667</v>
      </c>
      <c r="B13" s="391" t="s">
        <v>668</v>
      </c>
      <c r="C13" s="386">
        <v>5.59</v>
      </c>
      <c r="D13" s="25">
        <v>182</v>
      </c>
      <c r="E13" s="25">
        <v>12</v>
      </c>
      <c r="F13" s="25">
        <v>46</v>
      </c>
      <c r="G13" s="25">
        <f t="shared" si="0"/>
        <v>2184</v>
      </c>
      <c r="H13" s="387">
        <f t="shared" si="1"/>
        <v>2.9119999999999999</v>
      </c>
      <c r="I13" s="387">
        <f t="shared" si="2"/>
        <v>0.54</v>
      </c>
      <c r="J13" s="387">
        <f t="shared" si="3"/>
        <v>4.1399999999999997</v>
      </c>
      <c r="K13" s="387">
        <f t="shared" si="4"/>
        <v>7.5919999999999996</v>
      </c>
      <c r="L13" s="20">
        <f t="shared" si="5"/>
        <v>3.452</v>
      </c>
      <c r="M13" s="20">
        <f t="shared" si="6"/>
        <v>7.0519999999999996</v>
      </c>
    </row>
    <row r="14" spans="1:26">
      <c r="A14" s="3" t="s">
        <v>669</v>
      </c>
      <c r="B14" s="391" t="s">
        <v>670</v>
      </c>
      <c r="C14" s="386">
        <v>8.15</v>
      </c>
      <c r="D14" s="25">
        <v>85</v>
      </c>
      <c r="E14" s="25">
        <v>23</v>
      </c>
      <c r="F14" s="25">
        <v>69</v>
      </c>
      <c r="G14" s="25">
        <f t="shared" si="0"/>
        <v>1955</v>
      </c>
      <c r="H14" s="387">
        <f t="shared" si="1"/>
        <v>1.36</v>
      </c>
      <c r="I14" s="387">
        <f t="shared" si="2"/>
        <v>1.0350000000000001</v>
      </c>
      <c r="J14" s="387">
        <f t="shared" si="3"/>
        <v>6.21</v>
      </c>
      <c r="K14" s="387">
        <f t="shared" si="4"/>
        <v>8.6050000000000004</v>
      </c>
      <c r="L14" s="20">
        <f t="shared" si="5"/>
        <v>2.3950000000000005</v>
      </c>
      <c r="M14" s="20">
        <f t="shared" si="6"/>
        <v>7.57</v>
      </c>
    </row>
    <row r="15" spans="1:26">
      <c r="A15" s="11" t="s">
        <v>671</v>
      </c>
      <c r="B15" s="391" t="s">
        <v>672</v>
      </c>
      <c r="C15" s="386">
        <v>7.38</v>
      </c>
      <c r="D15" s="25">
        <v>74</v>
      </c>
      <c r="E15" s="25">
        <v>37.799999999999997</v>
      </c>
      <c r="F15" s="25">
        <v>77</v>
      </c>
      <c r="G15" s="25">
        <f t="shared" si="0"/>
        <v>2797.2</v>
      </c>
      <c r="H15" s="387">
        <f t="shared" si="1"/>
        <v>1.1839999999999999</v>
      </c>
      <c r="I15" s="387">
        <f t="shared" si="2"/>
        <v>1.7010000000000001</v>
      </c>
      <c r="J15" s="387">
        <f t="shared" si="3"/>
        <v>6.93</v>
      </c>
      <c r="K15" s="387">
        <f t="shared" si="4"/>
        <v>9.8149999999999995</v>
      </c>
      <c r="L15" s="20">
        <f t="shared" si="5"/>
        <v>2.8849999999999998</v>
      </c>
      <c r="M15" s="20">
        <f t="shared" si="6"/>
        <v>8.113999999999999</v>
      </c>
    </row>
    <row r="16" spans="1:26">
      <c r="A16" s="11" t="s">
        <v>673</v>
      </c>
      <c r="B16" s="391" t="s">
        <v>674</v>
      </c>
      <c r="C16" s="386">
        <v>10.16</v>
      </c>
      <c r="D16" s="25">
        <v>64</v>
      </c>
      <c r="E16" s="25">
        <v>33</v>
      </c>
      <c r="F16" s="25">
        <v>82</v>
      </c>
      <c r="G16" s="25">
        <f t="shared" si="0"/>
        <v>2112</v>
      </c>
      <c r="H16" s="387">
        <f t="shared" si="1"/>
        <v>1.024</v>
      </c>
      <c r="I16" s="387">
        <f t="shared" si="2"/>
        <v>1.4850000000000001</v>
      </c>
      <c r="J16" s="387">
        <f t="shared" si="3"/>
        <v>7.38</v>
      </c>
      <c r="K16" s="387">
        <f t="shared" si="4"/>
        <v>9.8889999999999993</v>
      </c>
      <c r="L16" s="20">
        <f t="shared" si="5"/>
        <v>2.5090000000000003</v>
      </c>
      <c r="M16" s="20">
        <f t="shared" si="6"/>
        <v>8.4039999999999999</v>
      </c>
    </row>
    <row r="17" spans="1:13">
      <c r="A17" s="3" t="s">
        <v>675</v>
      </c>
      <c r="B17" s="391" t="s">
        <v>676</v>
      </c>
      <c r="C17" s="386">
        <v>9.9499999999999993</v>
      </c>
      <c r="D17" s="25">
        <v>80</v>
      </c>
      <c r="E17" s="25">
        <v>24</v>
      </c>
      <c r="F17" s="25">
        <v>85</v>
      </c>
      <c r="G17" s="25">
        <f t="shared" si="0"/>
        <v>1920</v>
      </c>
      <c r="H17" s="387">
        <f t="shared" si="1"/>
        <v>1.28</v>
      </c>
      <c r="I17" s="387">
        <f t="shared" si="2"/>
        <v>1.08</v>
      </c>
      <c r="J17" s="387">
        <f t="shared" si="3"/>
        <v>7.65</v>
      </c>
      <c r="K17" s="387">
        <f t="shared" si="4"/>
        <v>10.010000000000002</v>
      </c>
      <c r="L17" s="20">
        <f t="shared" si="5"/>
        <v>2.3600000000000003</v>
      </c>
      <c r="M17" s="20">
        <f t="shared" si="6"/>
        <v>8.93</v>
      </c>
    </row>
    <row r="18" spans="1:13">
      <c r="A18" s="3" t="s">
        <v>677</v>
      </c>
      <c r="B18" s="391" t="s">
        <v>678</v>
      </c>
      <c r="C18" s="388">
        <v>15.41</v>
      </c>
      <c r="D18" s="25">
        <v>29</v>
      </c>
      <c r="E18" s="25">
        <v>37.799999999999997</v>
      </c>
      <c r="F18" s="25">
        <v>105</v>
      </c>
      <c r="G18" s="25">
        <f t="shared" si="0"/>
        <v>1096.1999999999998</v>
      </c>
      <c r="H18" s="389">
        <f t="shared" si="1"/>
        <v>0.46400000000000002</v>
      </c>
      <c r="I18" s="389">
        <f t="shared" si="2"/>
        <v>1.7010000000000001</v>
      </c>
      <c r="J18" s="389">
        <f t="shared" si="3"/>
        <v>9.4499999999999993</v>
      </c>
      <c r="K18" s="389">
        <f t="shared" si="4"/>
        <v>11.614999999999998</v>
      </c>
      <c r="L18" s="390">
        <f t="shared" si="5"/>
        <v>2.165</v>
      </c>
      <c r="M18" s="20">
        <f t="shared" si="6"/>
        <v>9.9139999999999997</v>
      </c>
    </row>
    <row r="19" spans="1:13">
      <c r="A19" s="3" t="s">
        <v>679</v>
      </c>
      <c r="B19" s="391" t="s">
        <v>680</v>
      </c>
      <c r="C19" s="386">
        <v>6.37</v>
      </c>
      <c r="D19" s="25">
        <v>294</v>
      </c>
      <c r="E19" s="25">
        <v>9.4</v>
      </c>
      <c r="F19" s="25">
        <v>75</v>
      </c>
      <c r="G19" s="25">
        <f t="shared" si="0"/>
        <v>2763.6</v>
      </c>
      <c r="H19" s="387">
        <f t="shared" si="1"/>
        <v>4.7039999999999997</v>
      </c>
      <c r="I19" s="387">
        <f t="shared" si="2"/>
        <v>0.42300000000000004</v>
      </c>
      <c r="J19" s="387">
        <f t="shared" si="3"/>
        <v>6.7500000000000009</v>
      </c>
      <c r="K19" s="387">
        <f t="shared" si="4"/>
        <v>11.877000000000001</v>
      </c>
      <c r="L19" s="20">
        <f t="shared" si="5"/>
        <v>5.1269999999999998</v>
      </c>
      <c r="M19" s="20">
        <f t="shared" si="6"/>
        <v>11.454000000000001</v>
      </c>
    </row>
    <row r="20" spans="1:13">
      <c r="A20" s="3" t="s">
        <v>681</v>
      </c>
      <c r="B20" s="391" t="s">
        <v>682</v>
      </c>
      <c r="C20" s="386">
        <v>16.16</v>
      </c>
      <c r="D20" s="25">
        <v>24</v>
      </c>
      <c r="E20" s="25">
        <v>57</v>
      </c>
      <c r="F20" s="25">
        <v>110</v>
      </c>
      <c r="G20" s="25">
        <f t="shared" si="0"/>
        <v>1368</v>
      </c>
      <c r="H20" s="387">
        <f t="shared" si="1"/>
        <v>0.38400000000000001</v>
      </c>
      <c r="I20" s="387">
        <f t="shared" si="2"/>
        <v>2.5649999999999999</v>
      </c>
      <c r="J20" s="387">
        <f t="shared" si="3"/>
        <v>9.9</v>
      </c>
      <c r="K20" s="387">
        <f t="shared" si="4"/>
        <v>12.849</v>
      </c>
      <c r="L20" s="20">
        <f t="shared" si="5"/>
        <v>2.9489999999999998</v>
      </c>
      <c r="M20" s="20">
        <f t="shared" si="6"/>
        <v>10.284000000000001</v>
      </c>
    </row>
    <row r="21" spans="1:13">
      <c r="A21" s="3" t="s">
        <v>683</v>
      </c>
      <c r="B21" s="391" t="s">
        <v>684</v>
      </c>
      <c r="C21" s="386">
        <v>5.82</v>
      </c>
      <c r="D21" s="25">
        <v>468</v>
      </c>
      <c r="E21" s="25">
        <v>5.9</v>
      </c>
      <c r="F21" s="25">
        <v>62</v>
      </c>
      <c r="G21" s="25">
        <f t="shared" si="0"/>
        <v>2761.2000000000003</v>
      </c>
      <c r="H21" s="387">
        <f t="shared" si="1"/>
        <v>7.4880000000000004</v>
      </c>
      <c r="I21" s="387">
        <f t="shared" si="2"/>
        <v>0.26550000000000001</v>
      </c>
      <c r="J21" s="387">
        <f t="shared" si="3"/>
        <v>5.5799999999999992</v>
      </c>
      <c r="K21" s="387">
        <f t="shared" si="4"/>
        <v>13.333500000000001</v>
      </c>
      <c r="L21" s="20">
        <f t="shared" si="5"/>
        <v>7.7535000000000007</v>
      </c>
      <c r="M21" s="20">
        <f t="shared" si="6"/>
        <v>13.068</v>
      </c>
    </row>
    <row r="22" spans="1:13">
      <c r="A22" s="3" t="s">
        <v>685</v>
      </c>
      <c r="B22" s="391" t="s">
        <v>686</v>
      </c>
      <c r="C22" s="386">
        <v>12.31</v>
      </c>
      <c r="D22" s="25">
        <v>72</v>
      </c>
      <c r="E22" s="25">
        <v>29</v>
      </c>
      <c r="F22" s="25">
        <v>132</v>
      </c>
      <c r="G22" s="25">
        <f t="shared" si="0"/>
        <v>2088</v>
      </c>
      <c r="H22" s="387">
        <f t="shared" si="1"/>
        <v>1.1519999999999999</v>
      </c>
      <c r="I22" s="387">
        <f t="shared" si="2"/>
        <v>1.3050000000000002</v>
      </c>
      <c r="J22" s="387">
        <f t="shared" si="3"/>
        <v>11.880000000000003</v>
      </c>
      <c r="K22" s="387">
        <f t="shared" si="4"/>
        <v>14.337000000000003</v>
      </c>
      <c r="L22" s="20">
        <f t="shared" si="5"/>
        <v>2.4569999999999999</v>
      </c>
      <c r="M22" s="20">
        <f t="shared" si="6"/>
        <v>13.032000000000002</v>
      </c>
    </row>
    <row r="23" spans="1:13">
      <c r="A23" s="3" t="s">
        <v>687</v>
      </c>
      <c r="B23" s="391" t="s">
        <v>688</v>
      </c>
      <c r="C23" s="386">
        <v>9.58</v>
      </c>
      <c r="D23" s="25">
        <v>125</v>
      </c>
      <c r="E23" s="25">
        <v>23</v>
      </c>
      <c r="F23" s="25">
        <v>127</v>
      </c>
      <c r="G23" s="25">
        <f t="shared" si="0"/>
        <v>2875</v>
      </c>
      <c r="H23" s="387">
        <f t="shared" si="1"/>
        <v>2</v>
      </c>
      <c r="I23" s="387">
        <f t="shared" si="2"/>
        <v>1.0350000000000001</v>
      </c>
      <c r="J23" s="387">
        <f t="shared" si="3"/>
        <v>11.430000000000001</v>
      </c>
      <c r="K23" s="387">
        <f t="shared" si="4"/>
        <v>14.465000000000002</v>
      </c>
      <c r="L23" s="20">
        <f t="shared" si="5"/>
        <v>3.0350000000000001</v>
      </c>
      <c r="M23" s="20">
        <f t="shared" si="6"/>
        <v>13.430000000000001</v>
      </c>
    </row>
    <row r="24" spans="1:13">
      <c r="A24" s="3" t="s">
        <v>689</v>
      </c>
      <c r="B24" s="391" t="s">
        <v>690</v>
      </c>
      <c r="C24" s="386">
        <v>10.78</v>
      </c>
      <c r="D24" s="25">
        <v>83</v>
      </c>
      <c r="E24" s="25">
        <v>34</v>
      </c>
      <c r="F24" s="25">
        <v>165</v>
      </c>
      <c r="G24" s="25">
        <f t="shared" si="0"/>
        <v>2822</v>
      </c>
      <c r="H24" s="387">
        <f t="shared" si="1"/>
        <v>1.3280000000000001</v>
      </c>
      <c r="I24" s="387">
        <f t="shared" si="2"/>
        <v>1.53</v>
      </c>
      <c r="J24" s="387">
        <f t="shared" si="3"/>
        <v>14.85</v>
      </c>
      <c r="K24" s="387">
        <f t="shared" si="4"/>
        <v>17.707999999999998</v>
      </c>
      <c r="L24" s="20">
        <f t="shared" si="5"/>
        <v>2.8580000000000001</v>
      </c>
      <c r="M24" s="20">
        <f t="shared" si="6"/>
        <v>16.178000000000001</v>
      </c>
    </row>
    <row r="25" spans="1:13">
      <c r="A25" s="3" t="s">
        <v>691</v>
      </c>
      <c r="B25" s="391" t="s">
        <v>692</v>
      </c>
      <c r="C25" s="388">
        <v>16.170000000000002</v>
      </c>
      <c r="D25" s="25">
        <v>30</v>
      </c>
      <c r="E25" s="25">
        <v>151</v>
      </c>
      <c r="F25" s="25">
        <v>138</v>
      </c>
      <c r="G25" s="25">
        <f t="shared" si="0"/>
        <v>4530</v>
      </c>
      <c r="H25" s="387">
        <f t="shared" si="1"/>
        <v>0.48</v>
      </c>
      <c r="I25" s="387">
        <f t="shared" si="2"/>
        <v>6.7950000000000008</v>
      </c>
      <c r="J25" s="387">
        <f t="shared" si="3"/>
        <v>12.42</v>
      </c>
      <c r="K25" s="387">
        <f t="shared" si="4"/>
        <v>19.695</v>
      </c>
      <c r="L25" s="20">
        <f t="shared" si="5"/>
        <v>7.2750000000000004</v>
      </c>
      <c r="M25" s="20">
        <f t="shared" si="6"/>
        <v>12.9</v>
      </c>
    </row>
    <row r="26" spans="1:13">
      <c r="A26" s="3" t="s">
        <v>693</v>
      </c>
      <c r="B26" s="391" t="s">
        <v>694</v>
      </c>
      <c r="C26" s="388">
        <v>21.16</v>
      </c>
      <c r="D26" s="25">
        <v>23</v>
      </c>
      <c r="E26" s="25">
        <v>37.799999999999997</v>
      </c>
      <c r="F26" s="25">
        <v>264</v>
      </c>
      <c r="G26" s="25">
        <f t="shared" si="0"/>
        <v>869.4</v>
      </c>
      <c r="H26" s="387">
        <f t="shared" si="1"/>
        <v>0.36799999999999999</v>
      </c>
      <c r="I26" s="387">
        <f t="shared" si="2"/>
        <v>1.7010000000000001</v>
      </c>
      <c r="J26" s="387">
        <f t="shared" si="3"/>
        <v>23.760000000000005</v>
      </c>
      <c r="K26" s="387">
        <f t="shared" si="4"/>
        <v>25.829000000000004</v>
      </c>
      <c r="L26" s="20">
        <f t="shared" si="5"/>
        <v>2.069</v>
      </c>
      <c r="M26" s="20">
        <f t="shared" si="6"/>
        <v>24.128000000000004</v>
      </c>
    </row>
    <row r="27" spans="1:13">
      <c r="A27" s="3" t="s">
        <v>695</v>
      </c>
      <c r="B27" s="391" t="s">
        <v>696</v>
      </c>
      <c r="C27" s="386">
        <v>18.989999999999998</v>
      </c>
      <c r="D27" s="25">
        <v>41</v>
      </c>
      <c r="E27" s="25">
        <v>63</v>
      </c>
      <c r="F27" s="25">
        <v>300</v>
      </c>
      <c r="G27" s="25">
        <f t="shared" si="0"/>
        <v>2583</v>
      </c>
      <c r="H27" s="387">
        <f t="shared" si="1"/>
        <v>0.65600000000000003</v>
      </c>
      <c r="I27" s="387">
        <f t="shared" si="2"/>
        <v>2.8350000000000004</v>
      </c>
      <c r="J27" s="387">
        <f t="shared" si="3"/>
        <v>27.000000000000004</v>
      </c>
      <c r="K27" s="387">
        <f t="shared" si="4"/>
        <v>30.491000000000003</v>
      </c>
      <c r="L27" s="20">
        <f t="shared" si="5"/>
        <v>3.4910000000000005</v>
      </c>
      <c r="M27" s="20">
        <f t="shared" si="6"/>
        <v>27.656000000000002</v>
      </c>
    </row>
    <row r="28" spans="1:13">
      <c r="A28" s="3" t="s">
        <v>697</v>
      </c>
      <c r="B28" s="391" t="s">
        <v>698</v>
      </c>
      <c r="C28" s="386">
        <v>5.69</v>
      </c>
      <c r="D28" s="25">
        <v>95</v>
      </c>
      <c r="E28" s="25">
        <v>66</v>
      </c>
      <c r="F28" s="25">
        <v>372</v>
      </c>
      <c r="G28" s="25">
        <f t="shared" si="0"/>
        <v>6270</v>
      </c>
      <c r="H28" s="387">
        <f t="shared" si="1"/>
        <v>1.52</v>
      </c>
      <c r="I28" s="387">
        <f t="shared" si="2"/>
        <v>2.97</v>
      </c>
      <c r="J28" s="387">
        <f t="shared" si="3"/>
        <v>33.480000000000004</v>
      </c>
      <c r="K28" s="387">
        <f t="shared" si="4"/>
        <v>37.970000000000006</v>
      </c>
      <c r="L28" s="20">
        <f t="shared" si="5"/>
        <v>4.49</v>
      </c>
      <c r="M28" s="20">
        <f t="shared" si="6"/>
        <v>35.000000000000007</v>
      </c>
    </row>
    <row r="29" spans="1:13">
      <c r="A29" s="3" t="s">
        <v>699</v>
      </c>
      <c r="B29" s="391" t="s">
        <v>700</v>
      </c>
      <c r="C29" s="386">
        <v>35.409999999999997</v>
      </c>
      <c r="D29" s="25">
        <v>8.5</v>
      </c>
      <c r="E29" s="25">
        <v>179</v>
      </c>
      <c r="F29" s="25">
        <v>362</v>
      </c>
      <c r="G29" s="25">
        <f t="shared" si="0"/>
        <v>1521.5</v>
      </c>
      <c r="H29" s="387">
        <f t="shared" si="1"/>
        <v>0.13600000000000001</v>
      </c>
      <c r="I29" s="387">
        <f t="shared" si="2"/>
        <v>8.0549999999999997</v>
      </c>
      <c r="J29" s="387">
        <f t="shared" si="3"/>
        <v>32.580000000000005</v>
      </c>
      <c r="K29" s="387">
        <f t="shared" si="4"/>
        <v>40.771000000000001</v>
      </c>
      <c r="L29" s="20">
        <f t="shared" si="5"/>
        <v>8.1909999999999989</v>
      </c>
      <c r="M29" s="20">
        <f t="shared" si="6"/>
        <v>32.716000000000008</v>
      </c>
    </row>
    <row r="30" spans="1:13">
      <c r="A30" s="3" t="s">
        <v>701</v>
      </c>
      <c r="B30" s="391" t="s">
        <v>702</v>
      </c>
      <c r="C30" s="3" t="s">
        <v>323</v>
      </c>
      <c r="D30" s="25">
        <v>14</v>
      </c>
      <c r="E30" s="25">
        <v>329</v>
      </c>
      <c r="F30" s="25">
        <v>332</v>
      </c>
      <c r="G30" s="25">
        <f t="shared" si="0"/>
        <v>4606</v>
      </c>
      <c r="H30" s="387">
        <f t="shared" si="1"/>
        <v>0.224</v>
      </c>
      <c r="I30" s="387">
        <f t="shared" si="2"/>
        <v>14.805</v>
      </c>
      <c r="J30" s="387">
        <f t="shared" si="3"/>
        <v>29.880000000000003</v>
      </c>
      <c r="K30" s="387">
        <f t="shared" si="4"/>
        <v>44.909000000000006</v>
      </c>
      <c r="L30" s="20">
        <f t="shared" si="5"/>
        <v>15.029</v>
      </c>
      <c r="M30" s="20">
        <f t="shared" si="6"/>
        <v>30.104000000000003</v>
      </c>
    </row>
    <row r="31" spans="1:13">
      <c r="A31" s="3" t="s">
        <v>703</v>
      </c>
      <c r="B31" s="391" t="s">
        <v>704</v>
      </c>
      <c r="C31" s="388">
        <v>34.44</v>
      </c>
      <c r="D31" s="25">
        <v>7.7</v>
      </c>
      <c r="E31" s="25">
        <v>195</v>
      </c>
      <c r="F31" s="25">
        <v>850</v>
      </c>
      <c r="G31" s="25">
        <f t="shared" si="0"/>
        <v>1501.5</v>
      </c>
      <c r="H31" s="387">
        <f t="shared" si="1"/>
        <v>0.1232</v>
      </c>
      <c r="I31" s="387">
        <f t="shared" si="2"/>
        <v>8.7750000000000004</v>
      </c>
      <c r="J31" s="387">
        <f t="shared" si="3"/>
        <v>76.500000000000014</v>
      </c>
      <c r="K31" s="387">
        <f t="shared" si="4"/>
        <v>85.398200000000017</v>
      </c>
      <c r="L31" s="20">
        <f t="shared" si="5"/>
        <v>8.898200000000001</v>
      </c>
      <c r="M31" s="20">
        <f t="shared" si="6"/>
        <v>76.623200000000011</v>
      </c>
    </row>
    <row r="32" spans="1:13">
      <c r="A32" s="3" t="s">
        <v>705</v>
      </c>
      <c r="B32" s="391" t="s">
        <v>706</v>
      </c>
      <c r="C32" s="386">
        <v>0.84599999999999997</v>
      </c>
      <c r="D32" s="25">
        <v>300</v>
      </c>
      <c r="E32" s="25">
        <v>16.399999999999999</v>
      </c>
      <c r="F32" s="25">
        <v>1000</v>
      </c>
      <c r="G32" s="25">
        <f t="shared" si="0"/>
        <v>4920</v>
      </c>
      <c r="H32" s="387">
        <f t="shared" si="1"/>
        <v>4.8</v>
      </c>
      <c r="I32" s="387">
        <f t="shared" si="2"/>
        <v>0.73799999999999988</v>
      </c>
      <c r="J32" s="387">
        <f t="shared" si="3"/>
        <v>90.000000000000014</v>
      </c>
      <c r="K32" s="387">
        <f t="shared" si="4"/>
        <v>95.538000000000011</v>
      </c>
      <c r="L32" s="20">
        <f t="shared" si="5"/>
        <v>5.5379999999999994</v>
      </c>
      <c r="M32" s="20">
        <f t="shared" si="6"/>
        <v>94.800000000000011</v>
      </c>
    </row>
    <row r="33" spans="1:26">
      <c r="A33" s="3" t="s">
        <v>707</v>
      </c>
      <c r="B33" s="391" t="s">
        <v>708</v>
      </c>
      <c r="C33" s="386">
        <v>5.86</v>
      </c>
      <c r="D33" s="25">
        <v>450</v>
      </c>
      <c r="E33" s="25">
        <v>11</v>
      </c>
      <c r="F33" s="25" t="s">
        <v>709</v>
      </c>
      <c r="G33" s="25">
        <f t="shared" si="0"/>
        <v>4950</v>
      </c>
      <c r="H33" s="387">
        <f t="shared" si="1"/>
        <v>7.2</v>
      </c>
      <c r="I33" s="387">
        <f t="shared" si="2"/>
        <v>0.49500000000000005</v>
      </c>
      <c r="J33" s="387" t="e">
        <f t="shared" si="3"/>
        <v>#VALUE!</v>
      </c>
      <c r="K33" s="387" t="e">
        <f t="shared" si="4"/>
        <v>#VALUE!</v>
      </c>
      <c r="L33" s="20">
        <f t="shared" si="5"/>
        <v>7.6950000000000003</v>
      </c>
      <c r="M33" s="3" t="e">
        <f t="shared" si="6"/>
        <v>#VALUE!</v>
      </c>
    </row>
    <row r="34" spans="1:26">
      <c r="A34" s="3" t="s">
        <v>710</v>
      </c>
      <c r="B34" s="391" t="s">
        <v>711</v>
      </c>
      <c r="C34" s="386">
        <v>6.45</v>
      </c>
      <c r="D34" s="25">
        <v>750</v>
      </c>
      <c r="E34" s="25">
        <v>11</v>
      </c>
      <c r="F34" s="25" t="s">
        <v>709</v>
      </c>
      <c r="G34" s="25">
        <f t="shared" si="0"/>
        <v>8250</v>
      </c>
      <c r="H34" s="387">
        <f t="shared" si="1"/>
        <v>12</v>
      </c>
      <c r="I34" s="387">
        <f t="shared" si="2"/>
        <v>0.49500000000000005</v>
      </c>
      <c r="J34" s="387" t="e">
        <f t="shared" si="3"/>
        <v>#VALUE!</v>
      </c>
      <c r="K34" s="387" t="e">
        <f t="shared" si="4"/>
        <v>#VALUE!</v>
      </c>
      <c r="L34" s="20">
        <f t="shared" si="5"/>
        <v>12.494999999999999</v>
      </c>
      <c r="M34" s="3" t="e">
        <f t="shared" si="6"/>
        <v>#VALUE!</v>
      </c>
    </row>
    <row r="35" spans="1:26">
      <c r="A35" s="3" t="s">
        <v>712</v>
      </c>
      <c r="B35" s="391" t="s">
        <v>713</v>
      </c>
      <c r="C35" s="386">
        <v>4.58</v>
      </c>
      <c r="D35" s="25">
        <v>1000</v>
      </c>
      <c r="E35" s="25">
        <v>5</v>
      </c>
      <c r="F35" s="25" t="s">
        <v>709</v>
      </c>
      <c r="G35" s="25">
        <f t="shared" si="0"/>
        <v>5000</v>
      </c>
      <c r="H35" s="387">
        <f t="shared" si="1"/>
        <v>16</v>
      </c>
      <c r="I35" s="387">
        <f t="shared" si="2"/>
        <v>0.22500000000000001</v>
      </c>
      <c r="J35" s="387" t="e">
        <f t="shared" si="3"/>
        <v>#VALUE!</v>
      </c>
      <c r="K35" s="387" t="e">
        <f t="shared" si="4"/>
        <v>#VALUE!</v>
      </c>
      <c r="L35" s="20">
        <f t="shared" si="5"/>
        <v>16.225000000000001</v>
      </c>
      <c r="M35" s="3" t="e">
        <f t="shared" si="6"/>
        <v>#VALUE!</v>
      </c>
    </row>
    <row r="36" spans="1:26">
      <c r="B36" s="3"/>
    </row>
    <row r="37" spans="1:26">
      <c r="B37" s="3"/>
    </row>
    <row r="38" spans="1:26">
      <c r="A38" s="11" t="s">
        <v>714</v>
      </c>
      <c r="B38" s="3"/>
      <c r="C38" s="3"/>
      <c r="D38" s="11"/>
    </row>
    <row r="39" spans="1:26">
      <c r="A39" s="379" t="s">
        <v>637</v>
      </c>
      <c r="B39" s="380">
        <v>12</v>
      </c>
      <c r="C39" s="381" t="s">
        <v>27</v>
      </c>
    </row>
    <row r="40" spans="1:26">
      <c r="A40" s="382" t="s">
        <v>638</v>
      </c>
      <c r="B40" s="3">
        <v>47</v>
      </c>
      <c r="C40" s="377" t="s">
        <v>639</v>
      </c>
    </row>
    <row r="41" spans="1:26">
      <c r="A41" s="382" t="s">
        <v>640</v>
      </c>
      <c r="B41" s="3">
        <v>190</v>
      </c>
      <c r="C41" s="377" t="s">
        <v>125</v>
      </c>
    </row>
    <row r="42" spans="1:26">
      <c r="A42" s="382" t="s">
        <v>641</v>
      </c>
      <c r="B42" s="20">
        <v>1.58</v>
      </c>
      <c r="C42" s="377" t="s">
        <v>282</v>
      </c>
    </row>
    <row r="43" spans="1:26">
      <c r="A43" s="383" t="s">
        <v>642</v>
      </c>
      <c r="B43" s="384">
        <v>0.5</v>
      </c>
      <c r="C43" s="385" t="s">
        <v>643</v>
      </c>
    </row>
    <row r="44" spans="1:26">
      <c r="A44" s="45"/>
      <c r="B44" s="20"/>
      <c r="C44" s="3"/>
    </row>
    <row r="45" spans="1:26">
      <c r="A45" s="33" t="s">
        <v>644</v>
      </c>
      <c r="B45" s="33" t="s">
        <v>645</v>
      </c>
      <c r="C45" s="33" t="s">
        <v>646</v>
      </c>
      <c r="D45" s="33" t="s">
        <v>715</v>
      </c>
      <c r="E45" s="33" t="s">
        <v>716</v>
      </c>
      <c r="F45" s="33" t="s">
        <v>610</v>
      </c>
      <c r="G45" s="33" t="s">
        <v>717</v>
      </c>
      <c r="H45" s="33" t="s">
        <v>718</v>
      </c>
      <c r="I45" s="33" t="s">
        <v>647</v>
      </c>
      <c r="J45" s="33" t="s">
        <v>648</v>
      </c>
      <c r="K45" s="33" t="s">
        <v>649</v>
      </c>
      <c r="L45" s="33" t="s">
        <v>650</v>
      </c>
      <c r="M45" s="33" t="s">
        <v>651</v>
      </c>
      <c r="N45" s="33" t="s">
        <v>652</v>
      </c>
      <c r="O45" s="33" t="s">
        <v>653</v>
      </c>
      <c r="P45" s="33" t="s">
        <v>654</v>
      </c>
      <c r="Q45" s="11"/>
      <c r="R45" s="11"/>
      <c r="S45" s="11"/>
      <c r="T45" s="11"/>
      <c r="U45" s="11"/>
      <c r="V45" s="11"/>
      <c r="W45" s="11"/>
      <c r="X45" s="11"/>
      <c r="Y45" s="11"/>
      <c r="Z45" s="11"/>
    </row>
    <row r="46" spans="1:26">
      <c r="A46" s="11" t="s">
        <v>719</v>
      </c>
      <c r="B46" s="391" t="s">
        <v>720</v>
      </c>
      <c r="C46" s="388">
        <v>3.42</v>
      </c>
      <c r="D46" s="3" t="s">
        <v>721</v>
      </c>
      <c r="E46" s="3" t="s">
        <v>722</v>
      </c>
      <c r="F46" s="25">
        <v>100</v>
      </c>
      <c r="G46" s="25">
        <v>60</v>
      </c>
      <c r="H46" s="25">
        <v>230</v>
      </c>
      <c r="I46" s="25">
        <v>2.4</v>
      </c>
      <c r="J46" s="25">
        <v>9.1999999999999993</v>
      </c>
      <c r="K46" s="25">
        <v>0</v>
      </c>
      <c r="L46" s="25">
        <f t="shared" ref="L46:L79" si="7">I46*J46</f>
        <v>22.08</v>
      </c>
      <c r="M46" s="387">
        <f t="shared" ref="M46:M79" si="8">I46/1000*$B$40^2</f>
        <v>5.3015999999999996</v>
      </c>
      <c r="N46" s="387">
        <f t="shared" ref="N46:N79" si="9">($B$39*$B$40*$B$41*1000*(J46*10^-9)/$B$42)*$B$43</f>
        <v>0.31198481012658225</v>
      </c>
      <c r="O46" s="387">
        <f t="shared" ref="O46:O79" si="10">K46*10^-9*$B$39*$B$41*1000</f>
        <v>0</v>
      </c>
      <c r="P46" s="387">
        <f t="shared" ref="P46:P79" si="11">M46+N46+O46</f>
        <v>5.6135848101265822</v>
      </c>
    </row>
    <row r="47" spans="1:26">
      <c r="A47" s="3" t="s">
        <v>723</v>
      </c>
      <c r="B47" s="391" t="s">
        <v>724</v>
      </c>
      <c r="C47" s="388">
        <v>2.25</v>
      </c>
      <c r="D47" s="3" t="s">
        <v>725</v>
      </c>
      <c r="E47" s="3" t="s">
        <v>726</v>
      </c>
      <c r="F47" s="25">
        <v>40</v>
      </c>
      <c r="G47" s="25">
        <v>381</v>
      </c>
      <c r="H47" s="25">
        <v>1524</v>
      </c>
      <c r="I47" s="25">
        <v>0.7</v>
      </c>
      <c r="J47" s="25">
        <v>94</v>
      </c>
      <c r="K47" s="25">
        <v>133</v>
      </c>
      <c r="L47" s="25">
        <f t="shared" si="7"/>
        <v>65.8</v>
      </c>
      <c r="M47" s="387">
        <f t="shared" si="8"/>
        <v>1.5463</v>
      </c>
      <c r="N47" s="387">
        <f t="shared" si="9"/>
        <v>3.1876708860759493</v>
      </c>
      <c r="O47" s="387">
        <f t="shared" si="10"/>
        <v>0.30324000000000001</v>
      </c>
      <c r="P47" s="387">
        <f t="shared" si="11"/>
        <v>5.0372108860759495</v>
      </c>
    </row>
    <row r="48" spans="1:26">
      <c r="A48" s="3" t="s">
        <v>727</v>
      </c>
      <c r="B48" s="391" t="s">
        <v>728</v>
      </c>
      <c r="C48" s="388">
        <v>2.96</v>
      </c>
      <c r="D48" s="3" t="s">
        <v>729</v>
      </c>
      <c r="E48" s="3" t="s">
        <v>726</v>
      </c>
      <c r="F48" s="25">
        <v>80</v>
      </c>
      <c r="G48" s="25">
        <v>253</v>
      </c>
      <c r="H48" s="25">
        <v>1071</v>
      </c>
      <c r="I48" s="25">
        <v>1.43</v>
      </c>
      <c r="J48" s="25">
        <v>51</v>
      </c>
      <c r="K48" s="25">
        <v>290</v>
      </c>
      <c r="L48" s="25">
        <f t="shared" si="7"/>
        <v>72.929999999999993</v>
      </c>
      <c r="M48" s="387">
        <f t="shared" si="8"/>
        <v>3.1588699999999998</v>
      </c>
      <c r="N48" s="387">
        <f t="shared" si="9"/>
        <v>1.7294810126582278</v>
      </c>
      <c r="O48" s="387">
        <f t="shared" si="10"/>
        <v>0.66120000000000012</v>
      </c>
      <c r="P48" s="387">
        <f t="shared" si="11"/>
        <v>5.5495510126582275</v>
      </c>
    </row>
    <row r="49" spans="1:16">
      <c r="A49" s="11" t="s">
        <v>440</v>
      </c>
      <c r="B49" s="391" t="s">
        <v>730</v>
      </c>
      <c r="C49" s="388">
        <v>2.63</v>
      </c>
      <c r="D49" s="3" t="s">
        <v>725</v>
      </c>
      <c r="E49" s="3" t="s">
        <v>726</v>
      </c>
      <c r="F49" s="25">
        <v>60</v>
      </c>
      <c r="G49" s="25">
        <v>134</v>
      </c>
      <c r="H49" s="25">
        <v>536</v>
      </c>
      <c r="I49" s="25">
        <v>2.2999999999999998</v>
      </c>
      <c r="J49" s="25">
        <v>30</v>
      </c>
      <c r="K49" s="25">
        <v>36</v>
      </c>
      <c r="L49" s="25">
        <f t="shared" si="7"/>
        <v>69</v>
      </c>
      <c r="M49" s="387">
        <f t="shared" si="8"/>
        <v>5.0807000000000002</v>
      </c>
      <c r="N49" s="387">
        <f t="shared" si="9"/>
        <v>1.0173417721518987</v>
      </c>
      <c r="O49" s="387">
        <f t="shared" si="10"/>
        <v>8.2080000000000014E-2</v>
      </c>
      <c r="P49" s="387">
        <f t="shared" si="11"/>
        <v>6.1801217721518995</v>
      </c>
    </row>
    <row r="50" spans="1:16">
      <c r="A50" s="3" t="s">
        <v>731</v>
      </c>
      <c r="B50" s="391" t="s">
        <v>732</v>
      </c>
      <c r="C50" s="388">
        <v>3.26</v>
      </c>
      <c r="D50" s="3" t="s">
        <v>725</v>
      </c>
      <c r="E50" s="3" t="s">
        <v>726</v>
      </c>
      <c r="F50" s="25">
        <v>60</v>
      </c>
      <c r="G50" s="25">
        <v>275</v>
      </c>
      <c r="H50" s="25">
        <v>1100</v>
      </c>
      <c r="I50" s="25">
        <v>1.55</v>
      </c>
      <c r="J50" s="25">
        <v>90</v>
      </c>
      <c r="K50" s="25">
        <v>42</v>
      </c>
      <c r="L50" s="25">
        <f t="shared" si="7"/>
        <v>139.5</v>
      </c>
      <c r="M50" s="387">
        <f t="shared" si="8"/>
        <v>3.42395</v>
      </c>
      <c r="N50" s="387">
        <f t="shared" si="9"/>
        <v>3.0520253164556963</v>
      </c>
      <c r="O50" s="387">
        <f t="shared" si="10"/>
        <v>9.5760000000000012E-2</v>
      </c>
      <c r="P50" s="387">
        <f t="shared" si="11"/>
        <v>6.5717353164556966</v>
      </c>
    </row>
    <row r="51" spans="1:16">
      <c r="A51" s="3" t="s">
        <v>733</v>
      </c>
      <c r="B51" s="391" t="s">
        <v>734</v>
      </c>
      <c r="C51" s="388">
        <v>3.93</v>
      </c>
      <c r="D51" s="3" t="s">
        <v>725</v>
      </c>
      <c r="E51" s="3" t="s">
        <v>726</v>
      </c>
      <c r="F51" s="25">
        <v>80</v>
      </c>
      <c r="G51" s="25">
        <v>198</v>
      </c>
      <c r="H51" s="25">
        <v>792</v>
      </c>
      <c r="I51" s="25">
        <v>2.5499999999999998</v>
      </c>
      <c r="J51" s="25">
        <v>34</v>
      </c>
      <c r="K51" s="25">
        <v>57</v>
      </c>
      <c r="L51" s="25">
        <f t="shared" si="7"/>
        <v>86.699999999999989</v>
      </c>
      <c r="M51" s="387">
        <f t="shared" si="8"/>
        <v>5.6329499999999992</v>
      </c>
      <c r="N51" s="387">
        <f t="shared" si="9"/>
        <v>1.1529873417721519</v>
      </c>
      <c r="O51" s="387">
        <f t="shared" si="10"/>
        <v>0.12996000000000002</v>
      </c>
      <c r="P51" s="387">
        <f t="shared" si="11"/>
        <v>6.9158973417721503</v>
      </c>
    </row>
    <row r="52" spans="1:16">
      <c r="A52" s="3" t="s">
        <v>735</v>
      </c>
      <c r="B52" s="391" t="s">
        <v>736</v>
      </c>
      <c r="C52" s="388">
        <v>1.5</v>
      </c>
      <c r="D52" s="3" t="s">
        <v>737</v>
      </c>
      <c r="E52" s="3" t="s">
        <v>726</v>
      </c>
      <c r="F52" s="25">
        <v>60</v>
      </c>
      <c r="G52" s="25">
        <v>135</v>
      </c>
      <c r="H52" s="25">
        <v>540</v>
      </c>
      <c r="I52" s="25">
        <v>2.8</v>
      </c>
      <c r="J52" s="25">
        <v>21</v>
      </c>
      <c r="K52" s="25">
        <v>49</v>
      </c>
      <c r="L52" s="25">
        <f t="shared" si="7"/>
        <v>58.8</v>
      </c>
      <c r="M52" s="387">
        <f t="shared" si="8"/>
        <v>6.1852</v>
      </c>
      <c r="N52" s="387">
        <f t="shared" si="9"/>
        <v>0.71213924050632915</v>
      </c>
      <c r="O52" s="387">
        <f t="shared" si="10"/>
        <v>0.11172000000000001</v>
      </c>
      <c r="P52" s="387">
        <f t="shared" si="11"/>
        <v>7.0090592405063292</v>
      </c>
    </row>
    <row r="53" spans="1:16">
      <c r="A53" s="3" t="s">
        <v>738</v>
      </c>
      <c r="B53" s="391" t="s">
        <v>739</v>
      </c>
      <c r="C53" s="388">
        <v>2.3199999999999998</v>
      </c>
      <c r="D53" s="3" t="s">
        <v>740</v>
      </c>
      <c r="E53" s="3" t="s">
        <v>726</v>
      </c>
      <c r="F53" s="25">
        <v>60</v>
      </c>
      <c r="G53" s="25">
        <v>140</v>
      </c>
      <c r="H53" s="25">
        <v>560</v>
      </c>
      <c r="I53" s="25">
        <v>2.5</v>
      </c>
      <c r="J53" s="25">
        <v>40</v>
      </c>
      <c r="K53" s="25">
        <v>38.200000000000003</v>
      </c>
      <c r="L53" s="25">
        <f t="shared" si="7"/>
        <v>100</v>
      </c>
      <c r="M53" s="387">
        <f t="shared" si="8"/>
        <v>5.5225</v>
      </c>
      <c r="N53" s="387">
        <f t="shared" si="9"/>
        <v>1.3564556962025318</v>
      </c>
      <c r="O53" s="387">
        <f t="shared" si="10"/>
        <v>8.7096000000000007E-2</v>
      </c>
      <c r="P53" s="387">
        <f t="shared" si="11"/>
        <v>6.9660516962025314</v>
      </c>
    </row>
    <row r="54" spans="1:16">
      <c r="A54" s="3" t="s">
        <v>741</v>
      </c>
      <c r="B54" s="391" t="s">
        <v>742</v>
      </c>
      <c r="C54" s="388">
        <v>1.62</v>
      </c>
      <c r="D54" s="3" t="s">
        <v>725</v>
      </c>
      <c r="E54" s="3" t="s">
        <v>726</v>
      </c>
      <c r="F54" s="25">
        <v>60</v>
      </c>
      <c r="G54" s="25">
        <v>134</v>
      </c>
      <c r="H54" s="25">
        <v>536</v>
      </c>
      <c r="I54" s="25">
        <v>2.7</v>
      </c>
      <c r="J54" s="25">
        <v>30</v>
      </c>
      <c r="K54" s="25">
        <v>36</v>
      </c>
      <c r="L54" s="25">
        <f t="shared" si="7"/>
        <v>81</v>
      </c>
      <c r="M54" s="387">
        <f t="shared" si="8"/>
        <v>5.9643000000000006</v>
      </c>
      <c r="N54" s="387">
        <f t="shared" si="9"/>
        <v>1.0173417721518987</v>
      </c>
      <c r="O54" s="387">
        <f t="shared" si="10"/>
        <v>8.2080000000000014E-2</v>
      </c>
      <c r="P54" s="387">
        <f t="shared" si="11"/>
        <v>7.0637217721518999</v>
      </c>
    </row>
    <row r="55" spans="1:16">
      <c r="A55" s="3" t="s">
        <v>743</v>
      </c>
      <c r="B55" s="391" t="s">
        <v>744</v>
      </c>
      <c r="C55" s="388">
        <v>1.62</v>
      </c>
      <c r="D55" s="3" t="s">
        <v>745</v>
      </c>
      <c r="E55" s="3" t="s">
        <v>726</v>
      </c>
      <c r="F55" s="25">
        <v>80</v>
      </c>
      <c r="G55" s="25">
        <v>154</v>
      </c>
      <c r="H55" s="25">
        <v>634</v>
      </c>
      <c r="I55" s="25">
        <v>2.6</v>
      </c>
      <c r="J55" s="25">
        <v>28</v>
      </c>
      <c r="K55" s="25">
        <v>163</v>
      </c>
      <c r="L55" s="25">
        <f t="shared" si="7"/>
        <v>72.8</v>
      </c>
      <c r="M55" s="387">
        <f t="shared" si="8"/>
        <v>5.7433999999999994</v>
      </c>
      <c r="N55" s="387">
        <f t="shared" si="9"/>
        <v>0.94951898734177231</v>
      </c>
      <c r="O55" s="387">
        <f t="shared" si="10"/>
        <v>0.37164000000000008</v>
      </c>
      <c r="P55" s="387">
        <f t="shared" si="11"/>
        <v>7.0645589873417718</v>
      </c>
    </row>
    <row r="56" spans="1:16">
      <c r="A56" s="3" t="s">
        <v>746</v>
      </c>
      <c r="B56" s="391" t="s">
        <v>747</v>
      </c>
      <c r="C56" s="388">
        <v>1.46</v>
      </c>
      <c r="D56" s="3" t="s">
        <v>748</v>
      </c>
      <c r="E56" s="3" t="s">
        <v>726</v>
      </c>
      <c r="F56" s="25">
        <v>60</v>
      </c>
      <c r="G56" s="25">
        <v>150</v>
      </c>
      <c r="H56" s="25">
        <v>900</v>
      </c>
      <c r="I56" s="25">
        <v>2.4</v>
      </c>
      <c r="J56" s="25">
        <v>52</v>
      </c>
      <c r="K56" s="25">
        <v>60</v>
      </c>
      <c r="L56" s="25">
        <f t="shared" si="7"/>
        <v>124.8</v>
      </c>
      <c r="M56" s="387">
        <f t="shared" si="8"/>
        <v>5.3015999999999996</v>
      </c>
      <c r="N56" s="387">
        <f t="shared" si="9"/>
        <v>1.7633924050632912</v>
      </c>
      <c r="O56" s="387">
        <f t="shared" si="10"/>
        <v>0.1368</v>
      </c>
      <c r="P56" s="387">
        <f t="shared" si="11"/>
        <v>7.2017924050632907</v>
      </c>
    </row>
    <row r="57" spans="1:16">
      <c r="A57" s="3" t="s">
        <v>749</v>
      </c>
      <c r="B57" s="391" t="s">
        <v>750</v>
      </c>
      <c r="C57" s="388">
        <v>1.1599999999999999</v>
      </c>
      <c r="D57" s="3" t="s">
        <v>751</v>
      </c>
      <c r="E57" s="3" t="s">
        <v>726</v>
      </c>
      <c r="F57" s="25">
        <v>80</v>
      </c>
      <c r="G57" s="25">
        <v>86</v>
      </c>
      <c r="H57" s="25">
        <v>400</v>
      </c>
      <c r="I57" s="25">
        <v>3.1</v>
      </c>
      <c r="J57" s="25">
        <v>18</v>
      </c>
      <c r="K57" s="25">
        <v>56</v>
      </c>
      <c r="L57" s="25">
        <f t="shared" si="7"/>
        <v>55.800000000000004</v>
      </c>
      <c r="M57" s="387">
        <f t="shared" si="8"/>
        <v>6.8479000000000001</v>
      </c>
      <c r="N57" s="387">
        <f t="shared" si="9"/>
        <v>0.6104050632911393</v>
      </c>
      <c r="O57" s="387">
        <f t="shared" si="10"/>
        <v>0.12768000000000002</v>
      </c>
      <c r="P57" s="387">
        <f t="shared" si="11"/>
        <v>7.5859850632911394</v>
      </c>
    </row>
    <row r="58" spans="1:16">
      <c r="A58" s="3" t="s">
        <v>752</v>
      </c>
      <c r="B58" s="391" t="s">
        <v>753</v>
      </c>
      <c r="C58" s="388">
        <v>2.2599999999999998</v>
      </c>
      <c r="D58" s="3" t="s">
        <v>725</v>
      </c>
      <c r="E58" s="3" t="s">
        <v>726</v>
      </c>
      <c r="F58" s="25">
        <v>60</v>
      </c>
      <c r="G58" s="25">
        <v>132</v>
      </c>
      <c r="H58" s="25">
        <v>528</v>
      </c>
      <c r="I58" s="25">
        <v>2.8</v>
      </c>
      <c r="J58" s="25">
        <v>37</v>
      </c>
      <c r="K58" s="25">
        <v>29</v>
      </c>
      <c r="L58" s="25">
        <f t="shared" si="7"/>
        <v>103.6</v>
      </c>
      <c r="M58" s="387">
        <f t="shared" si="8"/>
        <v>6.1852</v>
      </c>
      <c r="N58" s="387">
        <f t="shared" si="9"/>
        <v>1.2547215189873417</v>
      </c>
      <c r="O58" s="387">
        <f t="shared" si="10"/>
        <v>6.6119999999999998E-2</v>
      </c>
      <c r="P58" s="387">
        <f t="shared" si="11"/>
        <v>7.5060415189873417</v>
      </c>
    </row>
    <row r="59" spans="1:16">
      <c r="A59" s="3" t="s">
        <v>754</v>
      </c>
      <c r="B59" s="391" t="s">
        <v>755</v>
      </c>
      <c r="C59" s="388">
        <v>7.15</v>
      </c>
      <c r="D59" s="3" t="s">
        <v>756</v>
      </c>
      <c r="E59" s="3" t="s">
        <v>722</v>
      </c>
      <c r="F59" s="25">
        <v>150</v>
      </c>
      <c r="G59" s="25">
        <v>100</v>
      </c>
      <c r="H59" s="25">
        <v>260</v>
      </c>
      <c r="I59" s="25">
        <v>3.2</v>
      </c>
      <c r="J59" s="25">
        <v>20</v>
      </c>
      <c r="K59" s="25">
        <v>0</v>
      </c>
      <c r="L59" s="25">
        <f t="shared" si="7"/>
        <v>64</v>
      </c>
      <c r="M59" s="387">
        <f t="shared" si="8"/>
        <v>7.0688000000000004</v>
      </c>
      <c r="N59" s="387">
        <f t="shared" si="9"/>
        <v>0.67822784810126591</v>
      </c>
      <c r="O59" s="387">
        <f t="shared" si="10"/>
        <v>0</v>
      </c>
      <c r="P59" s="387">
        <f t="shared" si="11"/>
        <v>7.7470278481012667</v>
      </c>
    </row>
    <row r="60" spans="1:16">
      <c r="A60" s="3" t="s">
        <v>757</v>
      </c>
      <c r="B60" s="391" t="s">
        <v>758</v>
      </c>
      <c r="C60" s="388">
        <v>1.3</v>
      </c>
      <c r="D60" s="3" t="s">
        <v>759</v>
      </c>
      <c r="E60" s="3" t="s">
        <v>726</v>
      </c>
      <c r="F60" s="25">
        <v>60</v>
      </c>
      <c r="G60" s="25">
        <v>140</v>
      </c>
      <c r="H60" s="25">
        <v>560</v>
      </c>
      <c r="I60" s="25">
        <v>2.5</v>
      </c>
      <c r="J60" s="25">
        <v>71</v>
      </c>
      <c r="K60" s="25">
        <v>51</v>
      </c>
      <c r="L60" s="25">
        <f t="shared" si="7"/>
        <v>177.5</v>
      </c>
      <c r="M60" s="387">
        <f t="shared" si="8"/>
        <v>5.5225</v>
      </c>
      <c r="N60" s="387">
        <f t="shared" si="9"/>
        <v>2.4077088607594934</v>
      </c>
      <c r="O60" s="387">
        <f t="shared" si="10"/>
        <v>0.11628000000000001</v>
      </c>
      <c r="P60" s="387">
        <f t="shared" si="11"/>
        <v>8.046488860759494</v>
      </c>
    </row>
    <row r="61" spans="1:16">
      <c r="A61" s="3" t="s">
        <v>760</v>
      </c>
      <c r="B61" s="391" t="s">
        <v>761</v>
      </c>
      <c r="C61" s="388">
        <v>1.93</v>
      </c>
      <c r="D61" s="3" t="s">
        <v>762</v>
      </c>
      <c r="E61" s="3" t="s">
        <v>726</v>
      </c>
      <c r="F61" s="25">
        <v>80</v>
      </c>
      <c r="G61" s="25">
        <v>135</v>
      </c>
      <c r="H61" s="25">
        <v>543</v>
      </c>
      <c r="I61" s="25">
        <v>3</v>
      </c>
      <c r="J61" s="25">
        <v>38</v>
      </c>
      <c r="K61" s="25">
        <v>150</v>
      </c>
      <c r="L61" s="25">
        <f t="shared" si="7"/>
        <v>114</v>
      </c>
      <c r="M61" s="387">
        <f t="shared" si="8"/>
        <v>6.6269999999999998</v>
      </c>
      <c r="N61" s="387">
        <f t="shared" si="9"/>
        <v>1.2886329113924051</v>
      </c>
      <c r="O61" s="387">
        <f t="shared" si="10"/>
        <v>0.34200000000000003</v>
      </c>
      <c r="P61" s="387">
        <f t="shared" si="11"/>
        <v>8.2576329113924043</v>
      </c>
    </row>
    <row r="62" spans="1:16">
      <c r="A62" s="3" t="s">
        <v>763</v>
      </c>
      <c r="B62" s="391" t="s">
        <v>764</v>
      </c>
      <c r="C62" s="388">
        <v>1.0900000000000001</v>
      </c>
      <c r="D62" s="3" t="s">
        <v>748</v>
      </c>
      <c r="E62" s="3" t="s">
        <v>726</v>
      </c>
      <c r="F62" s="25">
        <v>60</v>
      </c>
      <c r="G62" s="25">
        <v>100</v>
      </c>
      <c r="H62" s="25">
        <v>820</v>
      </c>
      <c r="I62" s="25">
        <v>3.3</v>
      </c>
      <c r="J62" s="25">
        <v>34</v>
      </c>
      <c r="K62" s="25">
        <v>32</v>
      </c>
      <c r="L62" s="25">
        <f t="shared" si="7"/>
        <v>112.19999999999999</v>
      </c>
      <c r="M62" s="387">
        <f t="shared" si="8"/>
        <v>7.2896999999999998</v>
      </c>
      <c r="N62" s="387">
        <f t="shared" si="9"/>
        <v>1.1529873417721519</v>
      </c>
      <c r="O62" s="387">
        <f t="shared" si="10"/>
        <v>7.2960000000000011E-2</v>
      </c>
      <c r="P62" s="387">
        <f t="shared" si="11"/>
        <v>8.5156473417721514</v>
      </c>
    </row>
    <row r="63" spans="1:16">
      <c r="A63" s="3" t="s">
        <v>765</v>
      </c>
      <c r="B63" s="391" t="s">
        <v>766</v>
      </c>
      <c r="C63" s="388">
        <v>1.64</v>
      </c>
      <c r="D63" s="3" t="s">
        <v>767</v>
      </c>
      <c r="E63" s="3" t="s">
        <v>726</v>
      </c>
      <c r="F63" s="25">
        <v>60</v>
      </c>
      <c r="G63" s="25">
        <v>120</v>
      </c>
      <c r="H63" s="25">
        <v>364</v>
      </c>
      <c r="I63" s="25">
        <v>3.2</v>
      </c>
      <c r="J63" s="25">
        <v>39.6</v>
      </c>
      <c r="K63" s="25">
        <v>38</v>
      </c>
      <c r="L63" s="25">
        <f t="shared" si="7"/>
        <v>126.72000000000001</v>
      </c>
      <c r="M63" s="387">
        <f t="shared" si="8"/>
        <v>7.0688000000000004</v>
      </c>
      <c r="N63" s="387">
        <f t="shared" si="9"/>
        <v>1.3428911392405065</v>
      </c>
      <c r="O63" s="387">
        <f t="shared" si="10"/>
        <v>8.6640000000000009E-2</v>
      </c>
      <c r="P63" s="387">
        <f t="shared" si="11"/>
        <v>8.4983311392405056</v>
      </c>
    </row>
    <row r="64" spans="1:16">
      <c r="A64" s="3" t="s">
        <v>768</v>
      </c>
      <c r="B64" s="391" t="s">
        <v>769</v>
      </c>
      <c r="C64" s="388">
        <v>1.2</v>
      </c>
      <c r="D64" s="3" t="s">
        <v>725</v>
      </c>
      <c r="E64" s="3" t="s">
        <v>726</v>
      </c>
      <c r="F64" s="25">
        <v>60</v>
      </c>
      <c r="G64" s="25">
        <v>112</v>
      </c>
      <c r="H64" s="25">
        <v>448</v>
      </c>
      <c r="I64" s="25">
        <v>3.4</v>
      </c>
      <c r="J64" s="25">
        <v>33</v>
      </c>
      <c r="K64" s="25">
        <v>65</v>
      </c>
      <c r="L64" s="25">
        <f t="shared" si="7"/>
        <v>112.2</v>
      </c>
      <c r="M64" s="387">
        <f t="shared" si="8"/>
        <v>7.5105999999999993</v>
      </c>
      <c r="N64" s="387">
        <f t="shared" si="9"/>
        <v>1.1190759493670888</v>
      </c>
      <c r="O64" s="387">
        <f t="shared" si="10"/>
        <v>0.1482</v>
      </c>
      <c r="P64" s="387">
        <f t="shared" si="11"/>
        <v>8.7778759493670879</v>
      </c>
    </row>
    <row r="65" spans="1:16">
      <c r="A65" s="3" t="s">
        <v>770</v>
      </c>
      <c r="B65" s="391" t="s">
        <v>771</v>
      </c>
      <c r="C65" s="388">
        <v>1.41</v>
      </c>
      <c r="D65" s="3" t="s">
        <v>772</v>
      </c>
      <c r="E65" s="3" t="s">
        <v>726</v>
      </c>
      <c r="F65" s="25">
        <v>60</v>
      </c>
      <c r="G65" s="25">
        <v>278</v>
      </c>
      <c r="H65" s="25">
        <v>575</v>
      </c>
      <c r="I65" s="25">
        <v>3</v>
      </c>
      <c r="J65" s="25">
        <v>56</v>
      </c>
      <c r="K65" s="25">
        <v>64</v>
      </c>
      <c r="L65" s="25">
        <f t="shared" si="7"/>
        <v>168</v>
      </c>
      <c r="M65" s="387">
        <f t="shared" si="8"/>
        <v>6.6269999999999998</v>
      </c>
      <c r="N65" s="387">
        <f t="shared" si="9"/>
        <v>1.8990379746835446</v>
      </c>
      <c r="O65" s="387">
        <f t="shared" si="10"/>
        <v>0.14592000000000002</v>
      </c>
      <c r="P65" s="387">
        <f t="shared" si="11"/>
        <v>8.6719579746835453</v>
      </c>
    </row>
    <row r="66" spans="1:16">
      <c r="A66" s="3" t="s">
        <v>773</v>
      </c>
      <c r="B66" s="391" t="s">
        <v>774</v>
      </c>
      <c r="C66" s="388">
        <v>2.59</v>
      </c>
      <c r="D66" s="3" t="s">
        <v>725</v>
      </c>
      <c r="E66" s="3" t="s">
        <v>726</v>
      </c>
      <c r="F66" s="25">
        <v>100</v>
      </c>
      <c r="G66" s="25">
        <v>156</v>
      </c>
      <c r="H66" s="25">
        <v>624</v>
      </c>
      <c r="I66" s="25">
        <v>3.4</v>
      </c>
      <c r="J66" s="25">
        <v>46</v>
      </c>
      <c r="K66" s="25">
        <v>42</v>
      </c>
      <c r="L66" s="25">
        <f t="shared" si="7"/>
        <v>156.4</v>
      </c>
      <c r="M66" s="387">
        <f t="shared" si="8"/>
        <v>7.5105999999999993</v>
      </c>
      <c r="N66" s="387">
        <f t="shared" si="9"/>
        <v>1.5599240506329113</v>
      </c>
      <c r="O66" s="387">
        <f t="shared" si="10"/>
        <v>9.5760000000000012E-2</v>
      </c>
      <c r="P66" s="387">
        <f t="shared" si="11"/>
        <v>9.1662840506329104</v>
      </c>
    </row>
    <row r="67" spans="1:16">
      <c r="A67" s="3" t="s">
        <v>775</v>
      </c>
      <c r="B67" s="391" t="s">
        <v>776</v>
      </c>
      <c r="C67" s="388">
        <v>2.96</v>
      </c>
      <c r="D67" s="3" t="s">
        <v>748</v>
      </c>
      <c r="E67" s="3" t="s">
        <v>726</v>
      </c>
      <c r="F67" s="25">
        <v>100</v>
      </c>
      <c r="G67" s="25">
        <v>132</v>
      </c>
      <c r="H67" s="25">
        <v>888</v>
      </c>
      <c r="I67" s="25">
        <v>3.6</v>
      </c>
      <c r="J67" s="25">
        <v>29</v>
      </c>
      <c r="K67" s="25">
        <v>183</v>
      </c>
      <c r="L67" s="25">
        <f t="shared" si="7"/>
        <v>104.4</v>
      </c>
      <c r="M67" s="387">
        <f t="shared" si="8"/>
        <v>7.9523999999999999</v>
      </c>
      <c r="N67" s="387">
        <f t="shared" si="9"/>
        <v>0.98343037974683534</v>
      </c>
      <c r="O67" s="387">
        <f t="shared" si="10"/>
        <v>0.41724000000000006</v>
      </c>
      <c r="P67" s="387">
        <f t="shared" si="11"/>
        <v>9.3530703797468355</v>
      </c>
    </row>
    <row r="68" spans="1:16">
      <c r="A68" s="11" t="s">
        <v>777</v>
      </c>
      <c r="B68" s="391" t="s">
        <v>778</v>
      </c>
      <c r="C68" s="388">
        <v>3.94</v>
      </c>
      <c r="D68" s="3" t="s">
        <v>779</v>
      </c>
      <c r="E68" s="3" t="s">
        <v>726</v>
      </c>
      <c r="F68" s="25">
        <v>100</v>
      </c>
      <c r="G68" s="25">
        <v>197</v>
      </c>
      <c r="H68" s="25">
        <v>400</v>
      </c>
      <c r="I68" s="25">
        <v>3.4</v>
      </c>
      <c r="J68" s="25">
        <v>75</v>
      </c>
      <c r="K68" s="25">
        <v>436</v>
      </c>
      <c r="L68" s="25">
        <f t="shared" si="7"/>
        <v>255</v>
      </c>
      <c r="M68" s="387">
        <f t="shared" si="8"/>
        <v>7.5105999999999993</v>
      </c>
      <c r="N68" s="387">
        <f t="shared" si="9"/>
        <v>2.5433544303797468</v>
      </c>
      <c r="O68" s="387">
        <f t="shared" si="10"/>
        <v>0.99408000000000007</v>
      </c>
      <c r="P68" s="387">
        <f t="shared" si="11"/>
        <v>11.048034430379747</v>
      </c>
    </row>
    <row r="69" spans="1:16">
      <c r="A69" s="3" t="s">
        <v>780</v>
      </c>
      <c r="B69" s="391" t="s">
        <v>781</v>
      </c>
      <c r="C69" s="388">
        <v>1.59</v>
      </c>
      <c r="D69" s="3" t="s">
        <v>782</v>
      </c>
      <c r="E69" s="3" t="s">
        <v>726</v>
      </c>
      <c r="F69" s="25">
        <v>60</v>
      </c>
      <c r="G69" s="25">
        <v>134</v>
      </c>
      <c r="H69" s="25">
        <v>400</v>
      </c>
      <c r="I69" s="25">
        <v>4.5999999999999996</v>
      </c>
      <c r="J69" s="25">
        <v>36</v>
      </c>
      <c r="K69" s="25">
        <v>100</v>
      </c>
      <c r="L69" s="25">
        <f t="shared" si="7"/>
        <v>165.6</v>
      </c>
      <c r="M69" s="387">
        <f t="shared" si="8"/>
        <v>10.1614</v>
      </c>
      <c r="N69" s="387">
        <f t="shared" si="9"/>
        <v>1.2208101265822786</v>
      </c>
      <c r="O69" s="387">
        <f t="shared" si="10"/>
        <v>0.22800000000000004</v>
      </c>
      <c r="P69" s="387">
        <f t="shared" si="11"/>
        <v>11.610210126582279</v>
      </c>
    </row>
    <row r="70" spans="1:16">
      <c r="A70" s="3" t="s">
        <v>783</v>
      </c>
      <c r="B70" s="391" t="s">
        <v>784</v>
      </c>
      <c r="C70" s="388">
        <v>5.05</v>
      </c>
      <c r="D70" s="3" t="s">
        <v>785</v>
      </c>
      <c r="E70" s="3" t="s">
        <v>722</v>
      </c>
      <c r="F70" s="25">
        <v>100</v>
      </c>
      <c r="G70" s="25">
        <v>60</v>
      </c>
      <c r="H70" s="25">
        <v>230</v>
      </c>
      <c r="I70" s="25">
        <v>5.5</v>
      </c>
      <c r="J70" s="25">
        <v>9.1999999999999993</v>
      </c>
      <c r="K70" s="25">
        <v>0</v>
      </c>
      <c r="L70" s="25">
        <f t="shared" si="7"/>
        <v>50.599999999999994</v>
      </c>
      <c r="M70" s="387">
        <f t="shared" si="8"/>
        <v>12.1495</v>
      </c>
      <c r="N70" s="387">
        <f t="shared" si="9"/>
        <v>0.31198481012658225</v>
      </c>
      <c r="O70" s="387">
        <f t="shared" si="10"/>
        <v>0</v>
      </c>
      <c r="P70" s="387">
        <f t="shared" si="11"/>
        <v>12.461484810126581</v>
      </c>
    </row>
    <row r="71" spans="1:16">
      <c r="A71" s="11" t="s">
        <v>786</v>
      </c>
      <c r="B71" s="391" t="s">
        <v>787</v>
      </c>
      <c r="C71" s="388">
        <v>2.73</v>
      </c>
      <c r="D71" s="3" t="s">
        <v>788</v>
      </c>
      <c r="E71" s="3" t="s">
        <v>722</v>
      </c>
      <c r="F71" s="25">
        <v>150</v>
      </c>
      <c r="G71" s="25">
        <v>28</v>
      </c>
      <c r="H71" s="25">
        <v>120</v>
      </c>
      <c r="I71" s="25">
        <v>5.6</v>
      </c>
      <c r="J71" s="25">
        <v>7.6</v>
      </c>
      <c r="K71" s="25">
        <v>0</v>
      </c>
      <c r="L71" s="25">
        <f t="shared" si="7"/>
        <v>42.559999999999995</v>
      </c>
      <c r="M71" s="387">
        <f t="shared" si="8"/>
        <v>12.3704</v>
      </c>
      <c r="N71" s="387">
        <f t="shared" si="9"/>
        <v>0.257726582278481</v>
      </c>
      <c r="O71" s="387">
        <f t="shared" si="10"/>
        <v>0</v>
      </c>
      <c r="P71" s="387">
        <f t="shared" si="11"/>
        <v>12.628126582278481</v>
      </c>
    </row>
    <row r="72" spans="1:16">
      <c r="A72" s="3" t="s">
        <v>789</v>
      </c>
      <c r="B72" s="391" t="s">
        <v>790</v>
      </c>
      <c r="C72" s="388">
        <v>0.72499999999999998</v>
      </c>
      <c r="D72" s="3" t="s">
        <v>791</v>
      </c>
      <c r="E72" s="3" t="s">
        <v>726</v>
      </c>
      <c r="F72" s="25">
        <v>60</v>
      </c>
      <c r="G72" s="25">
        <v>79</v>
      </c>
      <c r="H72" s="25">
        <v>180</v>
      </c>
      <c r="I72" s="25">
        <v>5.4</v>
      </c>
      <c r="J72" s="25">
        <v>22</v>
      </c>
      <c r="K72" s="25">
        <v>28</v>
      </c>
      <c r="L72" s="25">
        <f t="shared" si="7"/>
        <v>118.80000000000001</v>
      </c>
      <c r="M72" s="387">
        <f t="shared" si="8"/>
        <v>11.928600000000001</v>
      </c>
      <c r="N72" s="387">
        <f t="shared" si="9"/>
        <v>0.7460506329113924</v>
      </c>
      <c r="O72" s="387">
        <f t="shared" si="10"/>
        <v>6.3840000000000008E-2</v>
      </c>
      <c r="P72" s="387">
        <f t="shared" si="11"/>
        <v>12.738490632911395</v>
      </c>
    </row>
    <row r="73" spans="1:16">
      <c r="A73" s="3" t="s">
        <v>792</v>
      </c>
      <c r="B73" s="391" t="s">
        <v>793</v>
      </c>
      <c r="C73" s="388">
        <v>1.97</v>
      </c>
      <c r="D73" s="3" t="s">
        <v>782</v>
      </c>
      <c r="E73" s="3" t="s">
        <v>726</v>
      </c>
      <c r="F73" s="25">
        <v>100</v>
      </c>
      <c r="G73" s="25">
        <v>110</v>
      </c>
      <c r="H73" s="25">
        <v>337</v>
      </c>
      <c r="I73" s="25">
        <v>5.3</v>
      </c>
      <c r="J73" s="25">
        <v>37</v>
      </c>
      <c r="K73" s="25">
        <v>226</v>
      </c>
      <c r="L73" s="25">
        <f t="shared" si="7"/>
        <v>196.1</v>
      </c>
      <c r="M73" s="387">
        <f t="shared" si="8"/>
        <v>11.707700000000001</v>
      </c>
      <c r="N73" s="387">
        <f t="shared" si="9"/>
        <v>1.2547215189873417</v>
      </c>
      <c r="O73" s="387">
        <f t="shared" si="10"/>
        <v>0.51527999999999996</v>
      </c>
      <c r="P73" s="387">
        <f t="shared" si="11"/>
        <v>13.477701518987343</v>
      </c>
    </row>
    <row r="74" spans="1:16">
      <c r="A74" s="3" t="s">
        <v>794</v>
      </c>
      <c r="B74" s="391" t="s">
        <v>795</v>
      </c>
      <c r="C74" s="388">
        <v>0.77200000000000002</v>
      </c>
      <c r="D74" s="3" t="s">
        <v>796</v>
      </c>
      <c r="E74" s="3" t="s">
        <v>726</v>
      </c>
      <c r="F74" s="25">
        <v>60</v>
      </c>
      <c r="G74" s="25">
        <v>110</v>
      </c>
      <c r="H74" s="25">
        <v>440</v>
      </c>
      <c r="I74" s="25">
        <v>4.8</v>
      </c>
      <c r="J74" s="25">
        <v>86</v>
      </c>
      <c r="K74" s="25">
        <v>36</v>
      </c>
      <c r="L74" s="25">
        <f t="shared" si="7"/>
        <v>412.8</v>
      </c>
      <c r="M74" s="387">
        <f t="shared" si="8"/>
        <v>10.603199999999999</v>
      </c>
      <c r="N74" s="387">
        <f t="shared" si="9"/>
        <v>2.9163797468354429</v>
      </c>
      <c r="O74" s="387">
        <f t="shared" si="10"/>
        <v>8.2080000000000014E-2</v>
      </c>
      <c r="P74" s="387">
        <f t="shared" si="11"/>
        <v>13.601659746835441</v>
      </c>
    </row>
    <row r="75" spans="1:16">
      <c r="A75" s="11" t="s">
        <v>797</v>
      </c>
      <c r="B75" s="391" t="s">
        <v>798</v>
      </c>
      <c r="C75" s="388">
        <v>2.19</v>
      </c>
      <c r="D75" s="3" t="s">
        <v>779</v>
      </c>
      <c r="E75" s="3" t="s">
        <v>726</v>
      </c>
      <c r="F75" s="25">
        <v>100</v>
      </c>
      <c r="G75" s="25">
        <v>200</v>
      </c>
      <c r="H75" s="25">
        <v>400</v>
      </c>
      <c r="I75" s="25">
        <v>5.6</v>
      </c>
      <c r="J75" s="25">
        <v>44</v>
      </c>
      <c r="K75" s="25">
        <v>326</v>
      </c>
      <c r="L75" s="25">
        <f t="shared" si="7"/>
        <v>246.39999999999998</v>
      </c>
      <c r="M75" s="387">
        <f t="shared" si="8"/>
        <v>12.3704</v>
      </c>
      <c r="N75" s="387">
        <f t="shared" si="9"/>
        <v>1.4921012658227848</v>
      </c>
      <c r="O75" s="387">
        <f t="shared" si="10"/>
        <v>0.74328000000000016</v>
      </c>
      <c r="P75" s="387">
        <f t="shared" si="11"/>
        <v>14.605781265822785</v>
      </c>
    </row>
    <row r="76" spans="1:16">
      <c r="A76" s="3" t="s">
        <v>799</v>
      </c>
      <c r="B76" s="391" t="s">
        <v>800</v>
      </c>
      <c r="C76" s="388">
        <v>8.3000000000000007</v>
      </c>
      <c r="D76" s="3" t="s">
        <v>801</v>
      </c>
      <c r="E76" s="3" t="s">
        <v>722</v>
      </c>
      <c r="F76" s="25">
        <v>100</v>
      </c>
      <c r="G76" s="25">
        <v>90</v>
      </c>
      <c r="H76" s="25">
        <v>140</v>
      </c>
      <c r="I76" s="25">
        <v>7</v>
      </c>
      <c r="J76" s="25">
        <v>8</v>
      </c>
      <c r="K76" s="25">
        <v>0</v>
      </c>
      <c r="L76" s="25">
        <f t="shared" si="7"/>
        <v>56</v>
      </c>
      <c r="M76" s="387">
        <f t="shared" si="8"/>
        <v>15.463000000000001</v>
      </c>
      <c r="N76" s="387">
        <f t="shared" si="9"/>
        <v>0.27129113924050635</v>
      </c>
      <c r="O76" s="387">
        <f t="shared" si="10"/>
        <v>0</v>
      </c>
      <c r="P76" s="387">
        <f t="shared" si="11"/>
        <v>15.734291139240508</v>
      </c>
    </row>
    <row r="77" spans="1:16">
      <c r="A77" s="11" t="s">
        <v>802</v>
      </c>
      <c r="B77" s="391" t="s">
        <v>803</v>
      </c>
      <c r="C77" s="388">
        <v>3.26</v>
      </c>
      <c r="D77" s="3" t="s">
        <v>779</v>
      </c>
      <c r="E77" s="3" t="s">
        <v>726</v>
      </c>
      <c r="F77" s="25">
        <v>150</v>
      </c>
      <c r="G77" s="25">
        <v>101</v>
      </c>
      <c r="H77" s="25">
        <v>488</v>
      </c>
      <c r="I77" s="25">
        <v>7.3</v>
      </c>
      <c r="J77" s="25">
        <v>53</v>
      </c>
      <c r="K77" s="25">
        <v>247</v>
      </c>
      <c r="L77" s="25">
        <f t="shared" si="7"/>
        <v>386.9</v>
      </c>
      <c r="M77" s="387">
        <f t="shared" si="8"/>
        <v>16.125700000000002</v>
      </c>
      <c r="N77" s="387">
        <f t="shared" si="9"/>
        <v>1.7973037974683546</v>
      </c>
      <c r="O77" s="387">
        <f t="shared" si="10"/>
        <v>0.5631600000000001</v>
      </c>
      <c r="P77" s="387">
        <f t="shared" si="11"/>
        <v>18.486163797468357</v>
      </c>
    </row>
    <row r="78" spans="1:16">
      <c r="A78" s="11" t="s">
        <v>804</v>
      </c>
      <c r="B78" s="391" t="s">
        <v>805</v>
      </c>
      <c r="C78" s="388">
        <v>1.84</v>
      </c>
      <c r="D78" s="3" t="s">
        <v>779</v>
      </c>
      <c r="E78" s="3" t="s">
        <v>726</v>
      </c>
      <c r="F78" s="25">
        <v>100</v>
      </c>
      <c r="G78" s="25">
        <v>200</v>
      </c>
      <c r="H78" s="25">
        <v>285</v>
      </c>
      <c r="I78" s="25">
        <v>7.7</v>
      </c>
      <c r="J78" s="25">
        <v>38</v>
      </c>
      <c r="K78" s="25">
        <v>270</v>
      </c>
      <c r="L78" s="25">
        <f t="shared" si="7"/>
        <v>292.60000000000002</v>
      </c>
      <c r="M78" s="387">
        <f t="shared" si="8"/>
        <v>17.0093</v>
      </c>
      <c r="N78" s="387">
        <f t="shared" si="9"/>
        <v>1.2886329113924051</v>
      </c>
      <c r="O78" s="387">
        <f t="shared" si="10"/>
        <v>0.61560000000000015</v>
      </c>
      <c r="P78" s="387">
        <f t="shared" si="11"/>
        <v>18.913532911392405</v>
      </c>
    </row>
    <row r="79" spans="1:16">
      <c r="A79" s="3" t="s">
        <v>806</v>
      </c>
      <c r="B79" s="391" t="s">
        <v>807</v>
      </c>
      <c r="C79" s="388">
        <v>4.6100000000000003</v>
      </c>
      <c r="D79" s="3" t="s">
        <v>808</v>
      </c>
      <c r="E79" s="3" t="s">
        <v>809</v>
      </c>
      <c r="F79" s="25">
        <v>100</v>
      </c>
      <c r="G79" s="25">
        <v>38</v>
      </c>
      <c r="H79" s="25">
        <v>60</v>
      </c>
      <c r="I79" s="25">
        <v>16</v>
      </c>
      <c r="J79" s="25">
        <v>3.3</v>
      </c>
      <c r="K79" s="25">
        <v>0</v>
      </c>
      <c r="L79" s="25">
        <f t="shared" si="7"/>
        <v>52.8</v>
      </c>
      <c r="M79" s="387">
        <f t="shared" si="8"/>
        <v>35.344000000000001</v>
      </c>
      <c r="N79" s="387">
        <f t="shared" si="9"/>
        <v>0.11190759493670885</v>
      </c>
      <c r="O79" s="387">
        <f t="shared" si="10"/>
        <v>0</v>
      </c>
      <c r="P79" s="387">
        <f t="shared" si="11"/>
        <v>35.455907594936711</v>
      </c>
    </row>
    <row r="80" spans="1:16">
      <c r="C80" s="388"/>
    </row>
  </sheetData>
  <autoFilter ref="A7:M35" xr:uid="{00000000-0009-0000-0000-000009000000}">
    <sortState xmlns:xlrd2="http://schemas.microsoft.com/office/spreadsheetml/2017/richdata2" ref="A7:M35">
      <sortCondition ref="K7:K35"/>
      <sortCondition ref="L7:L35"/>
    </sortState>
  </autoFilter>
  <conditionalFormatting sqref="H8:H35">
    <cfRule type="colorScale" priority="6">
      <colorScale>
        <cfvo type="min"/>
        <cfvo type="percentile" val="50"/>
        <cfvo type="max"/>
        <color rgb="FF57BB8A"/>
        <color rgb="FFFFD666"/>
        <color rgb="FFE67C73"/>
      </colorScale>
    </cfRule>
  </conditionalFormatting>
  <conditionalFormatting sqref="I8:I35">
    <cfRule type="colorScale" priority="7">
      <colorScale>
        <cfvo type="min"/>
        <cfvo type="percentile" val="50"/>
        <cfvo type="max"/>
        <color rgb="FF57BB8A"/>
        <color rgb="FFFFD666"/>
        <color rgb="FFE67C73"/>
      </colorScale>
    </cfRule>
  </conditionalFormatting>
  <conditionalFormatting sqref="I46:I79">
    <cfRule type="colorScale" priority="1">
      <colorScale>
        <cfvo type="min"/>
        <cfvo type="percentile" val="50"/>
        <cfvo type="max"/>
        <color rgb="FF57BB8A"/>
        <color rgb="FFFFD666"/>
        <color rgb="FFE67C73"/>
      </colorScale>
    </cfRule>
  </conditionalFormatting>
  <conditionalFormatting sqref="I8:K35">
    <cfRule type="colorScale" priority="5">
      <colorScale>
        <cfvo type="min"/>
        <cfvo type="percentile" val="50"/>
        <cfvo type="max"/>
        <color rgb="FF57BB8A"/>
        <color rgb="FFFFD666"/>
        <color rgb="FFE67C73"/>
      </colorScale>
    </cfRule>
  </conditionalFormatting>
  <conditionalFormatting sqref="J8:J35">
    <cfRule type="colorScale" priority="8">
      <colorScale>
        <cfvo type="min"/>
        <cfvo type="percentile" val="50"/>
        <cfvo type="max"/>
        <color rgb="FF57BB8A"/>
        <color rgb="FFFFD666"/>
        <color rgb="FFE67C73"/>
      </colorScale>
    </cfRule>
  </conditionalFormatting>
  <conditionalFormatting sqref="J46:J79">
    <cfRule type="colorScale" priority="10">
      <colorScale>
        <cfvo type="min"/>
        <cfvo type="percentile" val="50"/>
        <cfvo type="max"/>
        <color rgb="FF57BB8A"/>
        <color rgb="FFFFD666"/>
        <color rgb="FFE67C73"/>
      </colorScale>
    </cfRule>
  </conditionalFormatting>
  <conditionalFormatting sqref="K46:K79">
    <cfRule type="colorScale" priority="11">
      <colorScale>
        <cfvo type="min"/>
        <cfvo type="percentile" val="50"/>
        <cfvo type="max"/>
        <color rgb="FF57BB8A"/>
        <color rgb="FFFFD666"/>
        <color rgb="FFE67C73"/>
      </colorScale>
    </cfRule>
  </conditionalFormatting>
  <conditionalFormatting sqref="L46:L79">
    <cfRule type="colorScale" priority="12">
      <colorScale>
        <cfvo type="min"/>
        <cfvo type="percentile" val="50"/>
        <cfvo type="max"/>
        <color rgb="FF57BB8A"/>
        <color rgb="FFFFD666"/>
        <color rgb="FFE67C73"/>
      </colorScale>
    </cfRule>
  </conditionalFormatting>
  <conditionalFormatting sqref="L8:M35">
    <cfRule type="colorScale" priority="9">
      <colorScale>
        <cfvo type="min"/>
        <cfvo type="percentile" val="50"/>
        <cfvo type="max"/>
        <color rgb="FF57BB8A"/>
        <color rgb="FFFFD666"/>
        <color rgb="FFE67C73"/>
      </colorScale>
    </cfRule>
  </conditionalFormatting>
  <conditionalFormatting sqref="M46:M79">
    <cfRule type="colorScale" priority="2">
      <colorScale>
        <cfvo type="min"/>
        <cfvo type="percentile" val="50"/>
        <cfvo type="max"/>
        <color rgb="FF57BB8A"/>
        <color rgb="FFFFD666"/>
        <color rgb="FFE67C73"/>
      </colorScale>
    </cfRule>
  </conditionalFormatting>
  <conditionalFormatting sqref="N46:N79">
    <cfRule type="colorScale" priority="3">
      <colorScale>
        <cfvo type="min"/>
        <cfvo type="percentile" val="50"/>
        <cfvo type="max"/>
        <color rgb="FF57BB8A"/>
        <color rgb="FFFFD666"/>
        <color rgb="FFE67C73"/>
      </colorScale>
    </cfRule>
  </conditionalFormatting>
  <conditionalFormatting sqref="O46:O79">
    <cfRule type="colorScale" priority="4">
      <colorScale>
        <cfvo type="min"/>
        <cfvo type="percentile" val="50"/>
        <cfvo type="max"/>
        <color rgb="FF57BB8A"/>
        <color rgb="FFFFD666"/>
        <color rgb="FFE67C73"/>
      </colorScale>
    </cfRule>
  </conditionalFormatting>
  <conditionalFormatting sqref="P46:P79">
    <cfRule type="colorScale" priority="13">
      <colorScale>
        <cfvo type="min"/>
        <cfvo type="percentile" val="50"/>
        <cfvo type="max"/>
        <color rgb="FF57BB8A"/>
        <color rgb="FFFFD666"/>
        <color rgb="FFE67C73"/>
      </colorScale>
    </cfRule>
  </conditionalFormatting>
  <hyperlinks>
    <hyperlink ref="B8" r:id="rId1" xr:uid="{00000000-0004-0000-0900-000000000000}"/>
    <hyperlink ref="B9" r:id="rId2" xr:uid="{00000000-0004-0000-0900-000001000000}"/>
    <hyperlink ref="B10" r:id="rId3" xr:uid="{00000000-0004-0000-0900-000002000000}"/>
    <hyperlink ref="B11" r:id="rId4" xr:uid="{00000000-0004-0000-0900-000003000000}"/>
    <hyperlink ref="B12" r:id="rId5" xr:uid="{00000000-0004-0000-0900-000004000000}"/>
    <hyperlink ref="B13" r:id="rId6" xr:uid="{00000000-0004-0000-0900-000005000000}"/>
    <hyperlink ref="B14" r:id="rId7" xr:uid="{00000000-0004-0000-0900-000006000000}"/>
    <hyperlink ref="B15" r:id="rId8" xr:uid="{00000000-0004-0000-0900-000007000000}"/>
    <hyperlink ref="B16" r:id="rId9" xr:uid="{00000000-0004-0000-0900-000008000000}"/>
    <hyperlink ref="B17" r:id="rId10" xr:uid="{00000000-0004-0000-0900-000009000000}"/>
    <hyperlink ref="B18" r:id="rId11" xr:uid="{00000000-0004-0000-0900-00000A000000}"/>
    <hyperlink ref="B19" r:id="rId12" xr:uid="{00000000-0004-0000-0900-00000B000000}"/>
    <hyperlink ref="B20" r:id="rId13" xr:uid="{00000000-0004-0000-0900-00000C000000}"/>
    <hyperlink ref="B21" r:id="rId14" xr:uid="{00000000-0004-0000-0900-00000D000000}"/>
    <hyperlink ref="B22" r:id="rId15" xr:uid="{00000000-0004-0000-0900-00000E000000}"/>
    <hyperlink ref="B23" r:id="rId16" xr:uid="{00000000-0004-0000-0900-00000F000000}"/>
    <hyperlink ref="B24" r:id="rId17" xr:uid="{00000000-0004-0000-0900-000010000000}"/>
    <hyperlink ref="B25" r:id="rId18" xr:uid="{00000000-0004-0000-0900-000011000000}"/>
    <hyperlink ref="B26" r:id="rId19" xr:uid="{00000000-0004-0000-0900-000012000000}"/>
    <hyperlink ref="B27" r:id="rId20" xr:uid="{00000000-0004-0000-0900-000013000000}"/>
    <hyperlink ref="B28" r:id="rId21" xr:uid="{00000000-0004-0000-0900-000014000000}"/>
    <hyperlink ref="B29" r:id="rId22" xr:uid="{00000000-0004-0000-0900-000015000000}"/>
    <hyperlink ref="B30" r:id="rId23" xr:uid="{00000000-0004-0000-0900-000016000000}"/>
    <hyperlink ref="B31" r:id="rId24" xr:uid="{00000000-0004-0000-0900-000017000000}"/>
    <hyperlink ref="B32" r:id="rId25" xr:uid="{00000000-0004-0000-0900-000018000000}"/>
    <hyperlink ref="B33" r:id="rId26" xr:uid="{00000000-0004-0000-0900-000019000000}"/>
    <hyperlink ref="B34" r:id="rId27" xr:uid="{00000000-0004-0000-0900-00001A000000}"/>
    <hyperlink ref="B35" r:id="rId28" xr:uid="{00000000-0004-0000-0900-00001B000000}"/>
    <hyperlink ref="B46" r:id="rId29" xr:uid="{00000000-0004-0000-0900-00001C000000}"/>
    <hyperlink ref="B47" r:id="rId30" xr:uid="{00000000-0004-0000-0900-00001D000000}"/>
    <hyperlink ref="B48" r:id="rId31" xr:uid="{00000000-0004-0000-0900-00001E000000}"/>
    <hyperlink ref="B49" r:id="rId32" xr:uid="{00000000-0004-0000-0900-00001F000000}"/>
    <hyperlink ref="B50" r:id="rId33" xr:uid="{00000000-0004-0000-0900-000020000000}"/>
    <hyperlink ref="B51" r:id="rId34" xr:uid="{00000000-0004-0000-0900-000021000000}"/>
    <hyperlink ref="B52" r:id="rId35" xr:uid="{00000000-0004-0000-0900-000022000000}"/>
    <hyperlink ref="B53" r:id="rId36" xr:uid="{00000000-0004-0000-0900-000023000000}"/>
    <hyperlink ref="B54" r:id="rId37" xr:uid="{00000000-0004-0000-0900-000024000000}"/>
    <hyperlink ref="B55" r:id="rId38" xr:uid="{00000000-0004-0000-0900-000025000000}"/>
    <hyperlink ref="B56" r:id="rId39" xr:uid="{00000000-0004-0000-0900-000026000000}"/>
    <hyperlink ref="B57" r:id="rId40" xr:uid="{00000000-0004-0000-0900-000027000000}"/>
    <hyperlink ref="B58" r:id="rId41" xr:uid="{00000000-0004-0000-0900-000028000000}"/>
    <hyperlink ref="B59" r:id="rId42" xr:uid="{00000000-0004-0000-0900-000029000000}"/>
    <hyperlink ref="B60" r:id="rId43" xr:uid="{00000000-0004-0000-0900-00002A000000}"/>
    <hyperlink ref="B61" r:id="rId44" xr:uid="{00000000-0004-0000-0900-00002B000000}"/>
    <hyperlink ref="B62" r:id="rId45" xr:uid="{00000000-0004-0000-0900-00002C000000}"/>
    <hyperlink ref="B63" r:id="rId46" xr:uid="{00000000-0004-0000-0900-00002D000000}"/>
    <hyperlink ref="B64" r:id="rId47" xr:uid="{00000000-0004-0000-0900-00002E000000}"/>
    <hyperlink ref="B65" r:id="rId48" xr:uid="{00000000-0004-0000-0900-00002F000000}"/>
    <hyperlink ref="B66" r:id="rId49" xr:uid="{00000000-0004-0000-0900-000030000000}"/>
    <hyperlink ref="B67" r:id="rId50" xr:uid="{00000000-0004-0000-0900-000031000000}"/>
    <hyperlink ref="B68" r:id="rId51" xr:uid="{00000000-0004-0000-0900-000032000000}"/>
    <hyperlink ref="B69" r:id="rId52" xr:uid="{00000000-0004-0000-0900-000033000000}"/>
    <hyperlink ref="B70" r:id="rId53" xr:uid="{00000000-0004-0000-0900-000034000000}"/>
    <hyperlink ref="B71" r:id="rId54" xr:uid="{00000000-0004-0000-0900-000035000000}"/>
    <hyperlink ref="B72" r:id="rId55" xr:uid="{00000000-0004-0000-0900-000036000000}"/>
    <hyperlink ref="B73" r:id="rId56" xr:uid="{00000000-0004-0000-0900-000037000000}"/>
    <hyperlink ref="B74" r:id="rId57" xr:uid="{00000000-0004-0000-0900-000038000000}"/>
    <hyperlink ref="B75" r:id="rId58" xr:uid="{00000000-0004-0000-0900-000039000000}"/>
    <hyperlink ref="B76" r:id="rId59" xr:uid="{00000000-0004-0000-0900-00003A000000}"/>
    <hyperlink ref="B77" r:id="rId60" xr:uid="{00000000-0004-0000-0900-00003B000000}"/>
    <hyperlink ref="B78" r:id="rId61" xr:uid="{00000000-0004-0000-0900-00003C000000}"/>
    <hyperlink ref="B79" r:id="rId62" xr:uid="{00000000-0004-0000-0900-00003D000000}"/>
  </hyperlinks>
  <pageMargins left="0.7" right="0.7" top="0.75" bottom="0.75" header="0.3" footer="0.3"/>
  <legacyDrawing r:id="rId6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8fab7e5-47aa-4bbc-997e-71101243f245" xsi:nil="true"/>
    <lcf76f155ced4ddcb4097134ff3c332f xmlns="b367095e-d7b3-45e2-91c8-745e884b9a9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82C344BA6B0DA4BB71C19E3ABE649CE" ma:contentTypeVersion="12" ma:contentTypeDescription="Create a new document." ma:contentTypeScope="" ma:versionID="827b4a593fc986bcf465ba71aaa4490b">
  <xsd:schema xmlns:xsd="http://www.w3.org/2001/XMLSchema" xmlns:xs="http://www.w3.org/2001/XMLSchema" xmlns:p="http://schemas.microsoft.com/office/2006/metadata/properties" xmlns:ns2="b367095e-d7b3-45e2-91c8-745e884b9a97" xmlns:ns3="28fab7e5-47aa-4bbc-997e-71101243f245" targetNamespace="http://schemas.microsoft.com/office/2006/metadata/properties" ma:root="true" ma:fieldsID="96db30903269bea0e21a004e10ba2afd" ns2:_="" ns3:_="">
    <xsd:import namespace="b367095e-d7b3-45e2-91c8-745e884b9a97"/>
    <xsd:import namespace="28fab7e5-47aa-4bbc-997e-71101243f2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67095e-d7b3-45e2-91c8-745e884b9a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e203d1-7cfb-462f-9308-eb621c314a9e"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fab7e5-47aa-4bbc-997e-71101243f2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592a56-bdee-4f47-9226-d5394f92baa8}" ma:internalName="TaxCatchAll" ma:showField="CatchAllData" ma:web="28fab7e5-47aa-4bbc-997e-71101243f2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FB275D-DE55-4F94-B2D8-7881CB7F0172}"/>
</file>

<file path=customXml/itemProps2.xml><?xml version="1.0" encoding="utf-8"?>
<ds:datastoreItem xmlns:ds="http://schemas.openxmlformats.org/officeDocument/2006/customXml" ds:itemID="{D7E7E1C5-A274-48FB-9A77-61B17FC45296}"/>
</file>

<file path=customXml/itemProps3.xml><?xml version="1.0" encoding="utf-8"?>
<ds:datastoreItem xmlns:ds="http://schemas.openxmlformats.org/officeDocument/2006/customXml" ds:itemID="{300309CE-929D-4DA6-A03E-36107D4B93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Bixler, Drew W</cp:lastModifiedBy>
  <cp:revision/>
  <dcterms:created xsi:type="dcterms:W3CDTF">2025-11-05T07:09:00Z</dcterms:created>
  <dcterms:modified xsi:type="dcterms:W3CDTF">2026-03-12T22:43:01Z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0x010100982C344BA6B0DA4BB71C19E3ABE649CE</vt:lpwstr>
  </property>
  <property fmtid="{D5CDD505-2E9C-101B-9397-08002B2CF9AE}" pid="3" name="MediaServiceImageTags">
    <vt:lpwstr/>
  </property>
</Properties>
</file>