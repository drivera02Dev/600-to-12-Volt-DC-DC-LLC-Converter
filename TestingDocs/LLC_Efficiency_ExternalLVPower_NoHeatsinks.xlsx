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showInkAnnotation="0"/>
  <mc:AlternateContent xmlns:mc="http://schemas.openxmlformats.org/markup-compatibility/2006">
    <mc:Choice Requires="x15">
      <x15ac:absPath xmlns:x15ac="http://schemas.microsoft.com/office/spreadsheetml/2010/11/ac" url="C:\Users\dbixl\Documents\Y4 S2\Senior Design\Testing\HV Testing\"/>
    </mc:Choice>
  </mc:AlternateContent>
  <xr:revisionPtr revIDLastSave="14" documentId="8_{41A768EF-63DE-4FCB-A156-56CC65F9E1E8}" xr6:coauthVersionLast="47" xr6:coauthVersionMax="47" xr10:uidLastSave="{4F7478C7-5B6E-4B6B-AF20-592252570284}"/>
  <bookViews>
    <workbookView xWindow="-108" yWindow="-108" windowWidth="23256" windowHeight="12456" xr2:uid="{00000000-000D-0000-FFFF-FFFF00000000}"/>
  </bookViews>
  <sheets>
    <sheet name="115 kHz" sheetId="1" r:id="rId1"/>
    <sheet name="110 kHz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2" i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</calcChain>
</file>

<file path=xl/sharedStrings.xml><?xml version="1.0" encoding="utf-8"?>
<sst xmlns="http://schemas.openxmlformats.org/spreadsheetml/2006/main" count="12" uniqueCount="11">
  <si>
    <t>Efficiency (%)</t>
  </si>
  <si>
    <t>Output Load (CC) (A)</t>
  </si>
  <si>
    <t>Input Current (A)</t>
  </si>
  <si>
    <t>Input Voltage</t>
  </si>
  <si>
    <t>Output Voltage</t>
  </si>
  <si>
    <t>Efficiency</t>
  </si>
  <si>
    <t>Output Load (Current)</t>
  </si>
  <si>
    <t>Input Current</t>
  </si>
  <si>
    <t>Output Load (V)</t>
  </si>
  <si>
    <t>Changed afterwards</t>
  </si>
  <si>
    <t>Output hits 12V at this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</si>
</sst>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C8102E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102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LLC Converter Efficiency</a:t>
            </a: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C8102E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'115 kHz'!$B$2:$B$33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xVal>
          <c:yVal>
            <c:numRef>
              <c:f>'115 kHz'!$A$2:$A$33</c:f>
              <c:numCache>
                <c:formatCode>General</c:formatCode>
                <c:ptCount val="32"/>
                <c:pt idx="0">
                  <c:v>55.401662049861493</c:v>
                </c:pt>
                <c:pt idx="1">
                  <c:v>70.175438596491233</c:v>
                </c:pt>
                <c:pt idx="2">
                  <c:v>77.972709551656919</c:v>
                </c:pt>
                <c:pt idx="3">
                  <c:v>82.559339525283804</c:v>
                </c:pt>
                <c:pt idx="4">
                  <c:v>85.57980316645272</c:v>
                </c:pt>
                <c:pt idx="5">
                  <c:v>87.719298245614041</c:v>
                </c:pt>
                <c:pt idx="6">
                  <c:v>89.314194577352467</c:v>
                </c:pt>
                <c:pt idx="7">
                  <c:v>90.548953027730619</c:v>
                </c:pt>
                <c:pt idx="8">
                  <c:v>91.093117408906892</c:v>
                </c:pt>
                <c:pt idx="9">
                  <c:v>91.932888991036549</c:v>
                </c:pt>
                <c:pt idx="10">
                  <c:v>92.26252883204026</c:v>
                </c:pt>
                <c:pt idx="11">
                  <c:v>92.879256965944265</c:v>
                </c:pt>
                <c:pt idx="12">
                  <c:v>93.089867525957757</c:v>
                </c:pt>
                <c:pt idx="13">
                  <c:v>93.567251461988292</c:v>
                </c:pt>
                <c:pt idx="14">
                  <c:v>93.706075277213799</c:v>
                </c:pt>
                <c:pt idx="15">
                  <c:v>94.089973537194936</c:v>
                </c:pt>
                <c:pt idx="16">
                  <c:v>94.18282548476455</c:v>
                </c:pt>
                <c:pt idx="17">
                  <c:v>94.500590628691427</c:v>
                </c:pt>
                <c:pt idx="18">
                  <c:v>94.562647754137117</c:v>
                </c:pt>
                <c:pt idx="19">
                  <c:v>94.618568894145469</c:v>
                </c:pt>
                <c:pt idx="20">
                  <c:v>94.669221232953902</c:v>
                </c:pt>
                <c:pt idx="21">
                  <c:v>94.715315897104716</c:v>
                </c:pt>
                <c:pt idx="22">
                  <c:v>94.943240454076374</c:v>
                </c:pt>
                <c:pt idx="23">
                  <c:v>94.974277799762561</c:v>
                </c:pt>
                <c:pt idx="24">
                  <c:v>95.002850085502558</c:v>
                </c:pt>
                <c:pt idx="25">
                  <c:v>95.029239766081872</c:v>
                </c:pt>
                <c:pt idx="26">
                  <c:v>94.895000439328697</c:v>
                </c:pt>
                <c:pt idx="27">
                  <c:v>94.923298584625826</c:v>
                </c:pt>
                <c:pt idx="28">
                  <c:v>94.949660309404933</c:v>
                </c:pt>
                <c:pt idx="29">
                  <c:v>94.974277799762561</c:v>
                </c:pt>
                <c:pt idx="30">
                  <c:v>94.997318624071085</c:v>
                </c:pt>
                <c:pt idx="31">
                  <c:v>94.885100074128985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99-477C-8543-A57757C26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5911056"/>
        <c:axId val="1465910096"/>
      </c:scatterChart>
      <c:valAx>
        <c:axId val="1465911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CC Load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910096"/>
        <c:crosses val="autoZero"/>
        <c:crossBetween val="midCat"/>
      </c:valAx>
      <c:valAx>
        <c:axId val="1465910096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911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579120</xdr:colOff>
      <xdr:row>4</xdr:row>
      <xdr:rowOff>125730</xdr:rowOff>
    </xdr:from>
    <xdr:to>
      <xdr:col>11</xdr:col>
      <xdr:colOff>152400</xdr:colOff>
      <xdr:row>19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DDE3EF-FADD-CDCF-76AF-D895E46275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9BEB-E536-F94F-B9DD-207DBB05191A}">
  <dimension ref="A1:R33"/>
  <sheetViews>
    <sheetView tabSelected="1" zoomScaleNormal="100" zoomScaleSheetLayoutView="100" workbookViewId="0">
      <selection activeCell="M20" sqref="M20"/>
    </sheetView>
  </sheetViews>
  <sheetFormatPr defaultRowHeight="14.45"/>
  <cols>
    <col min="1" max="1" width="12.85546875" customWidth="1"/>
    <col min="2" max="2" width="18.7109375" customWidth="1"/>
    <col min="3" max="3" width="15.5703125" customWidth="1"/>
    <col min="4" max="4" width="15.28515625" customWidth="1"/>
    <col min="5" max="5" width="4.28515625" bestFit="1" customWidth="1"/>
  </cols>
  <sheetData>
    <row r="1" spans="1:5" ht="16.5" customHeight="1">
      <c r="A1" t="s">
        <v>0</v>
      </c>
      <c r="B1" t="s">
        <v>1</v>
      </c>
      <c r="C1" s="1" t="s">
        <v>2</v>
      </c>
    </row>
    <row r="2" spans="1:5">
      <c r="A2">
        <f>100*('110 kHz'!$E$3*B2)/('110 kHz'!$E$2*C2)</f>
        <v>55.401662049861493</v>
      </c>
      <c r="B2">
        <v>1</v>
      </c>
      <c r="C2">
        <v>3.7999999999999999E-2</v>
      </c>
      <c r="D2" t="s">
        <v>3</v>
      </c>
      <c r="E2">
        <v>580</v>
      </c>
    </row>
    <row r="3" spans="1:5">
      <c r="A3">
        <f>100*('110 kHz'!$E$3*B3)/('110 kHz'!$E$2*C3)</f>
        <v>70.175438596491233</v>
      </c>
      <c r="B3">
        <v>2</v>
      </c>
      <c r="C3">
        <v>0.06</v>
      </c>
      <c r="D3" t="s">
        <v>4</v>
      </c>
      <c r="E3">
        <v>12</v>
      </c>
    </row>
    <row r="4" spans="1:5">
      <c r="A4">
        <f>100*('110 kHz'!$E$3*B4)/('110 kHz'!$E$2*C4)</f>
        <v>77.972709551656919</v>
      </c>
      <c r="B4">
        <v>3</v>
      </c>
      <c r="C4">
        <v>8.1000000000000003E-2</v>
      </c>
    </row>
    <row r="5" spans="1:5">
      <c r="A5">
        <f>100*('110 kHz'!$E$3*B5)/('110 kHz'!$E$2*C5)</f>
        <v>82.559339525283804</v>
      </c>
      <c r="B5">
        <v>4</v>
      </c>
      <c r="C5">
        <v>0.10199999999999999</v>
      </c>
    </row>
    <row r="6" spans="1:5">
      <c r="A6">
        <f>100*('110 kHz'!$E$3*B6)/('110 kHz'!$E$2*C6)</f>
        <v>85.57980316645272</v>
      </c>
      <c r="B6">
        <v>5</v>
      </c>
      <c r="C6">
        <v>0.123</v>
      </c>
    </row>
    <row r="7" spans="1:5">
      <c r="A7">
        <f>100*('110 kHz'!$E$3*B7)/('110 kHz'!$E$2*C7)</f>
        <v>87.719298245614041</v>
      </c>
      <c r="B7">
        <v>6</v>
      </c>
      <c r="C7">
        <v>0.14399999999999999</v>
      </c>
    </row>
    <row r="8" spans="1:5">
      <c r="A8">
        <f>100*('110 kHz'!$E$3*B8)/('110 kHz'!$E$2*C8)</f>
        <v>89.314194577352467</v>
      </c>
      <c r="B8">
        <v>7</v>
      </c>
      <c r="C8">
        <v>0.16500000000000001</v>
      </c>
    </row>
    <row r="9" spans="1:5">
      <c r="A9">
        <f>100*('110 kHz'!$E$3*B9)/('110 kHz'!$E$2*C9)</f>
        <v>90.548953027730619</v>
      </c>
      <c r="B9">
        <v>8</v>
      </c>
      <c r="C9">
        <v>0.186</v>
      </c>
    </row>
    <row r="10" spans="1:5">
      <c r="A10">
        <f>100*('110 kHz'!$E$3*B10)/('110 kHz'!$E$2*C10)</f>
        <v>91.093117408906892</v>
      </c>
      <c r="B10">
        <v>9</v>
      </c>
      <c r="C10">
        <v>0.20799999999999999</v>
      </c>
    </row>
    <row r="11" spans="1:5">
      <c r="A11">
        <f>100*('110 kHz'!$E$3*B11)/('110 kHz'!$E$2*C11)</f>
        <v>91.932888991036549</v>
      </c>
      <c r="B11">
        <v>10</v>
      </c>
      <c r="C11">
        <v>0.22900000000000001</v>
      </c>
    </row>
    <row r="12" spans="1:5">
      <c r="A12">
        <f>100*('110 kHz'!$E$3*B12)/('110 kHz'!$E$2*C12)</f>
        <v>92.26252883204026</v>
      </c>
      <c r="B12">
        <v>11</v>
      </c>
      <c r="C12">
        <v>0.251</v>
      </c>
    </row>
    <row r="13" spans="1:5">
      <c r="A13">
        <f>100*('110 kHz'!$E$3*B13)/('110 kHz'!$E$2*C13)</f>
        <v>92.879256965944265</v>
      </c>
      <c r="B13">
        <v>12</v>
      </c>
      <c r="C13">
        <v>0.27200000000000002</v>
      </c>
    </row>
    <row r="14" spans="1:5">
      <c r="A14">
        <f>100*('110 kHz'!$E$3*B14)/('110 kHz'!$E$2*C14)</f>
        <v>93.089867525957757</v>
      </c>
      <c r="B14">
        <v>13</v>
      </c>
      <c r="C14">
        <v>0.29399999999999998</v>
      </c>
    </row>
    <row r="15" spans="1:5">
      <c r="A15">
        <f>100*('110 kHz'!$E$3*B15)/('110 kHz'!$E$2*C15)</f>
        <v>93.567251461988292</v>
      </c>
      <c r="B15">
        <v>14</v>
      </c>
      <c r="C15">
        <v>0.315</v>
      </c>
    </row>
    <row r="16" spans="1:5">
      <c r="A16">
        <f>100*('110 kHz'!$E$3*B16)/('110 kHz'!$E$2*C16)</f>
        <v>93.706075277213799</v>
      </c>
      <c r="B16">
        <v>15</v>
      </c>
      <c r="C16">
        <v>0.33700000000000002</v>
      </c>
    </row>
    <row r="17" spans="1:18">
      <c r="A17">
        <f>100*('110 kHz'!$E$3*B17)/('110 kHz'!$E$2*C17)</f>
        <v>94.089973537194936</v>
      </c>
      <c r="B17">
        <v>16</v>
      </c>
      <c r="C17">
        <v>0.35799999999999998</v>
      </c>
    </row>
    <row r="18" spans="1:18" ht="15">
      <c r="A18">
        <f>100*('110 kHz'!$E$3*B18)/('110 kHz'!$E$2*C18)</f>
        <v>94.18282548476455</v>
      </c>
      <c r="B18">
        <v>17</v>
      </c>
      <c r="C18">
        <v>0.38</v>
      </c>
      <c r="R18" s="2"/>
    </row>
    <row r="19" spans="1:18">
      <c r="A19">
        <f>100*('110 kHz'!$E$3*B19)/('110 kHz'!$E$2*C19)</f>
        <v>94.500590628691427</v>
      </c>
      <c r="B19">
        <v>18</v>
      </c>
      <c r="C19">
        <v>0.40100000000000002</v>
      </c>
    </row>
    <row r="20" spans="1:18">
      <c r="A20">
        <f>100*('110 kHz'!$E$3*B20)/('110 kHz'!$E$2*C20)</f>
        <v>94.562647754137117</v>
      </c>
      <c r="B20">
        <v>19</v>
      </c>
      <c r="C20">
        <v>0.42299999999999999</v>
      </c>
    </row>
    <row r="21" spans="1:18">
      <c r="A21">
        <f>100*('110 kHz'!$E$3*B21)/('110 kHz'!$E$2*C21)</f>
        <v>94.618568894145469</v>
      </c>
      <c r="B21">
        <v>20</v>
      </c>
      <c r="C21">
        <v>0.44500000000000001</v>
      </c>
    </row>
    <row r="22" spans="1:18">
      <c r="A22">
        <f>100*('110 kHz'!$E$3*B22)/('110 kHz'!$E$2*C22)</f>
        <v>94.669221232953902</v>
      </c>
      <c r="B22">
        <v>21</v>
      </c>
      <c r="C22">
        <v>0.46700000000000003</v>
      </c>
    </row>
    <row r="23" spans="1:18">
      <c r="A23">
        <f>100*('110 kHz'!$E$3*B23)/('110 kHz'!$E$2*C23)</f>
        <v>94.715315897104716</v>
      </c>
      <c r="B23">
        <v>22</v>
      </c>
      <c r="C23">
        <v>0.48899999999999999</v>
      </c>
    </row>
    <row r="24" spans="1:18">
      <c r="A24">
        <f>100*('110 kHz'!$E$3*B24)/('110 kHz'!$E$2*C24)</f>
        <v>94.943240454076374</v>
      </c>
      <c r="B24">
        <v>23</v>
      </c>
      <c r="C24">
        <v>0.51</v>
      </c>
    </row>
    <row r="25" spans="1:18">
      <c r="A25">
        <f>100*('110 kHz'!$E$3*B25)/('110 kHz'!$E$2*C25)</f>
        <v>94.974277799762561</v>
      </c>
      <c r="B25">
        <v>24</v>
      </c>
      <c r="C25">
        <v>0.53200000000000003</v>
      </c>
    </row>
    <row r="26" spans="1:18">
      <c r="A26">
        <f>100*('110 kHz'!$E$3*B26)/('110 kHz'!$E$2*C26)</f>
        <v>95.002850085502558</v>
      </c>
      <c r="B26">
        <v>25</v>
      </c>
      <c r="C26">
        <v>0.55400000000000005</v>
      </c>
    </row>
    <row r="27" spans="1:18">
      <c r="A27">
        <f>100*('110 kHz'!$E$3*B27)/('110 kHz'!$E$2*C27)</f>
        <v>95.029239766081872</v>
      </c>
      <c r="B27">
        <v>26</v>
      </c>
      <c r="C27">
        <v>0.57599999999999996</v>
      </c>
    </row>
    <row r="28" spans="1:18">
      <c r="A28">
        <f>100*('110 kHz'!$E$3*B28)/('110 kHz'!$E$2*C28)</f>
        <v>94.895000439328697</v>
      </c>
      <c r="B28">
        <v>27</v>
      </c>
      <c r="C28">
        <v>0.59899999999999998</v>
      </c>
    </row>
    <row r="29" spans="1:18">
      <c r="A29">
        <f>100*('110 kHz'!$E$3*B29)/('110 kHz'!$E$2*C29)</f>
        <v>94.923298584625826</v>
      </c>
      <c r="B29">
        <v>28</v>
      </c>
      <c r="C29">
        <v>0.621</v>
      </c>
    </row>
    <row r="30" spans="1:18">
      <c r="A30">
        <f>100*('110 kHz'!$E$3*B30)/('110 kHz'!$E$2*C30)</f>
        <v>94.949660309404933</v>
      </c>
      <c r="B30">
        <v>29</v>
      </c>
      <c r="C30">
        <v>0.64300000000000002</v>
      </c>
    </row>
    <row r="31" spans="1:18">
      <c r="A31">
        <f>100*('110 kHz'!$E$3*B31)/('110 kHz'!$E$2*C31)</f>
        <v>94.974277799762561</v>
      </c>
      <c r="B31">
        <v>30</v>
      </c>
      <c r="C31">
        <v>0.66500000000000004</v>
      </c>
    </row>
    <row r="32" spans="1:18">
      <c r="A32">
        <f>100*('110 kHz'!$E$3*B32)/('110 kHz'!$E$2*C32)</f>
        <v>94.997318624071085</v>
      </c>
      <c r="B32">
        <v>31</v>
      </c>
      <c r="C32">
        <v>0.68700000000000006</v>
      </c>
    </row>
    <row r="33" spans="1:3">
      <c r="A33">
        <f>100*('110 kHz'!$E$3*B33)/('110 kHz'!$E$2*C33)</f>
        <v>94.885100074128985</v>
      </c>
      <c r="B33">
        <v>32</v>
      </c>
      <c r="C33">
        <v>0.71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D135-2FC1-4BEC-91C4-4307B8BC161F}">
  <dimension ref="A1:E32"/>
  <sheetViews>
    <sheetView workbookViewId="0">
      <selection activeCell="I13" sqref="I13"/>
    </sheetView>
  </sheetViews>
  <sheetFormatPr defaultRowHeight="14.45"/>
  <sheetData>
    <row r="1" spans="1:5">
      <c r="A1" t="s">
        <v>5</v>
      </c>
      <c r="B1" t="s">
        <v>6</v>
      </c>
      <c r="C1" t="s">
        <v>7</v>
      </c>
    </row>
    <row r="2" spans="1:5">
      <c r="A2">
        <f>($E$3*B2)/($E$2*C2)</f>
        <v>0.51347881899871628</v>
      </c>
      <c r="B2">
        <v>1</v>
      </c>
      <c r="C2">
        <v>4.1000000000000002E-2</v>
      </c>
      <c r="D2" t="s">
        <v>3</v>
      </c>
      <c r="E2">
        <v>570</v>
      </c>
    </row>
    <row r="3" spans="1:5">
      <c r="A3">
        <f>($E$3*B3)/($E$2*C3)</f>
        <v>0.66833751044277356</v>
      </c>
      <c r="B3">
        <v>2</v>
      </c>
      <c r="C3">
        <v>6.3E-2</v>
      </c>
      <c r="D3" t="s">
        <v>8</v>
      </c>
      <c r="E3">
        <v>12</v>
      </c>
    </row>
    <row r="4" spans="1:5">
      <c r="A4">
        <f>($E$3*B4)/($E$2*C4)</f>
        <v>0.7430340557275541</v>
      </c>
      <c r="B4">
        <v>3</v>
      </c>
      <c r="C4">
        <v>8.5000000000000006E-2</v>
      </c>
    </row>
    <row r="5" spans="1:5">
      <c r="A5">
        <f>($E$3*B5)/($E$2*C5)</f>
        <v>0.79443892750744782</v>
      </c>
      <c r="B5">
        <v>4</v>
      </c>
      <c r="C5">
        <v>0.106</v>
      </c>
    </row>
    <row r="6" spans="1:5">
      <c r="A6">
        <f>($E$3*B6)/($E$2*C6)</f>
        <v>0.82236842105263153</v>
      </c>
      <c r="B6">
        <v>5</v>
      </c>
      <c r="C6">
        <v>0.128</v>
      </c>
    </row>
    <row r="7" spans="1:5">
      <c r="A7">
        <f>($E$3*B7)/($E$2*C7)</f>
        <v>0.84775697633345115</v>
      </c>
      <c r="B7">
        <v>6</v>
      </c>
      <c r="C7">
        <v>0.14899999999999999</v>
      </c>
    </row>
    <row r="8" spans="1:5">
      <c r="A8">
        <f>($E$3*B8)/($E$2*C8)</f>
        <v>0.88244563504569795</v>
      </c>
      <c r="B8">
        <v>7</v>
      </c>
      <c r="C8">
        <v>0.16700000000000001</v>
      </c>
    </row>
    <row r="9" spans="1:5">
      <c r="A9">
        <f>($E$3*B9)/($E$2*C9)</f>
        <v>0.89111668059036475</v>
      </c>
      <c r="B9">
        <v>8</v>
      </c>
      <c r="C9">
        <v>0.189</v>
      </c>
    </row>
    <row r="10" spans="1:5">
      <c r="A10">
        <f>($E$3*B10)/($E$2*C10)</f>
        <v>0.8979795460214518</v>
      </c>
      <c r="B10">
        <v>9</v>
      </c>
      <c r="C10">
        <v>0.21099999999999999</v>
      </c>
    </row>
    <row r="11" spans="1:5">
      <c r="A11">
        <f>($E$3*B11)/($E$2*C11)</f>
        <v>0.90354641969731198</v>
      </c>
      <c r="B11">
        <v>10</v>
      </c>
      <c r="C11">
        <v>0.23300000000000001</v>
      </c>
    </row>
    <row r="12" spans="1:5">
      <c r="A12">
        <f>($E$3*B12)/($E$2*C12)</f>
        <v>0.998185117967332</v>
      </c>
      <c r="B12">
        <v>11</v>
      </c>
      <c r="C12">
        <v>0.23200000000000001</v>
      </c>
    </row>
    <row r="13" spans="1:5">
      <c r="A13">
        <f>($E$3*B13)/($E$2*C13)</f>
        <v>0.99461251554082053</v>
      </c>
      <c r="B13">
        <v>12</v>
      </c>
      <c r="C13">
        <v>0.254</v>
      </c>
    </row>
    <row r="14" spans="1:5">
      <c r="A14">
        <f>($E$3*B14)/($E$2*C14)</f>
        <v>0.99160945842868031</v>
      </c>
      <c r="B14">
        <v>13</v>
      </c>
      <c r="C14">
        <v>0.27600000000000002</v>
      </c>
    </row>
    <row r="15" spans="1:5">
      <c r="A15">
        <f>($E$3*B15)/($E$2*C15)</f>
        <v>1.0678871090770403</v>
      </c>
      <c r="B15">
        <v>14</v>
      </c>
      <c r="C15">
        <v>0.27600000000000002</v>
      </c>
    </row>
    <row r="16" spans="1:5">
      <c r="A16">
        <f>($E$3*B16)/($E$2*C16)</f>
        <v>1.1341485025695552</v>
      </c>
      <c r="B16">
        <v>16</v>
      </c>
      <c r="C16">
        <v>0.29699999999999999</v>
      </c>
    </row>
    <row r="17" spans="1:4">
      <c r="A17">
        <f>($E$3*B17)/($E$2*C17)</f>
        <v>1.1219270747401417</v>
      </c>
      <c r="B17">
        <v>17</v>
      </c>
      <c r="C17">
        <v>0.31900000000000001</v>
      </c>
    </row>
    <row r="18" spans="1:4">
      <c r="A18">
        <f>($E$3*B18)/($E$2*C18)</f>
        <v>0.82379862700228834</v>
      </c>
      <c r="B18">
        <v>18</v>
      </c>
      <c r="C18">
        <v>0.46</v>
      </c>
      <c r="D18" t="s">
        <v>9</v>
      </c>
    </row>
    <row r="19" spans="1:4">
      <c r="A19">
        <f>($E$3*B19)/($E$2*C19)</f>
        <v>0.92807424593967525</v>
      </c>
      <c r="B19">
        <v>19</v>
      </c>
      <c r="C19">
        <v>0.43099999999999999</v>
      </c>
    </row>
    <row r="20" spans="1:4">
      <c r="A20">
        <f>($E$3*B20)/($E$2*C20)</f>
        <v>0.92947600790054619</v>
      </c>
      <c r="B20">
        <v>20</v>
      </c>
      <c r="C20">
        <v>0.45300000000000001</v>
      </c>
    </row>
    <row r="21" spans="1:4">
      <c r="A21">
        <f>($E$3*B21)/($E$2*C21)</f>
        <v>0.93074792243767313</v>
      </c>
      <c r="B21">
        <v>21</v>
      </c>
      <c r="C21">
        <v>0.47499999999999998</v>
      </c>
    </row>
    <row r="22" spans="1:4">
      <c r="A22">
        <f>($E$3*B22)/($E$2*C22)</f>
        <v>0.93003593320651023</v>
      </c>
      <c r="B22">
        <v>22</v>
      </c>
      <c r="C22">
        <v>0.498</v>
      </c>
    </row>
    <row r="23" spans="1:4">
      <c r="A23">
        <f>($E$3*B23)/($E$2*C23)</f>
        <v>0.93117408906882582</v>
      </c>
      <c r="B23">
        <v>23</v>
      </c>
      <c r="C23">
        <v>0.52</v>
      </c>
    </row>
    <row r="24" spans="1:4">
      <c r="A24">
        <f>($E$3*B24)/($E$2*C24)</f>
        <v>0.93221984851427464</v>
      </c>
      <c r="B24">
        <v>24</v>
      </c>
      <c r="C24">
        <v>0.54200000000000004</v>
      </c>
    </row>
    <row r="25" spans="1:4">
      <c r="A25">
        <f>($E$3*B25)/($E$2*C25)</f>
        <v>0.93318402388951116</v>
      </c>
      <c r="B25">
        <v>25</v>
      </c>
      <c r="C25">
        <v>0.56399999999999995</v>
      </c>
    </row>
    <row r="26" spans="1:4">
      <c r="A26">
        <f>($E$3*B26)/($E$2*C26)</f>
        <v>0.93248453330942349</v>
      </c>
      <c r="B26">
        <v>26</v>
      </c>
      <c r="C26">
        <v>0.58699999999999997</v>
      </c>
    </row>
    <row r="27" spans="1:4">
      <c r="A27">
        <f>($E$3*B27)/($E$2*C27)</f>
        <v>0.93336790251490798</v>
      </c>
      <c r="B27">
        <v>27</v>
      </c>
      <c r="C27">
        <v>0.60899999999999999</v>
      </c>
    </row>
    <row r="28" spans="1:4">
      <c r="A28">
        <f>($E$3*B28)/($E$2*C28)</f>
        <v>0.93271152564956694</v>
      </c>
      <c r="B28">
        <v>28</v>
      </c>
      <c r="C28">
        <v>0.63200000000000001</v>
      </c>
    </row>
    <row r="29" spans="1:4">
      <c r="A29">
        <f>($E$3*B29)/($E$2*C29)</f>
        <v>0.93352647674231448</v>
      </c>
      <c r="B29">
        <v>29</v>
      </c>
      <c r="C29">
        <v>0.65400000000000003</v>
      </c>
    </row>
    <row r="30" spans="1:4">
      <c r="A30">
        <f>($E$3*B30)/($E$2*C30)</f>
        <v>0.93290834175542248</v>
      </c>
      <c r="B30">
        <v>30</v>
      </c>
      <c r="C30">
        <v>0.67700000000000005</v>
      </c>
    </row>
    <row r="31" spans="1:4">
      <c r="A31">
        <f>($E$3*B31)/($E$2*C31)</f>
        <v>0.93366463368722241</v>
      </c>
      <c r="B31">
        <v>31</v>
      </c>
      <c r="C31">
        <v>0.69899999999999995</v>
      </c>
      <c r="D31" t="s">
        <v>10</v>
      </c>
    </row>
    <row r="32" spans="1:4">
      <c r="A32">
        <f>($E$3*B32)/($E$2*C32)</f>
        <v>0.93308062399766734</v>
      </c>
      <c r="B32">
        <v>32</v>
      </c>
      <c r="C32">
        <v>0.72199999999999998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8fab7e5-47aa-4bbc-997e-71101243f245" xsi:nil="true"/>
    <lcf76f155ced4ddcb4097134ff3c332f xmlns="b367095e-d7b3-45e2-91c8-745e884b9a9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2C344BA6B0DA4BB71C19E3ABE649CE" ma:contentTypeVersion="12" ma:contentTypeDescription="Create a new document." ma:contentTypeScope="" ma:versionID="827b4a593fc986bcf465ba71aaa4490b">
  <xsd:schema xmlns:xsd="http://www.w3.org/2001/XMLSchema" xmlns:xs="http://www.w3.org/2001/XMLSchema" xmlns:p="http://schemas.microsoft.com/office/2006/metadata/properties" xmlns:ns2="b367095e-d7b3-45e2-91c8-745e884b9a97" xmlns:ns3="28fab7e5-47aa-4bbc-997e-71101243f245" targetNamespace="http://schemas.microsoft.com/office/2006/metadata/properties" ma:root="true" ma:fieldsID="96db30903269bea0e21a004e10ba2afd" ns2:_="" ns3:_="">
    <xsd:import namespace="b367095e-d7b3-45e2-91c8-745e884b9a97"/>
    <xsd:import namespace="28fab7e5-47aa-4bbc-997e-71101243f2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7095e-d7b3-45e2-91c8-745e884b9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e203d1-7cfb-462f-9308-eb621c314a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fab7e5-47aa-4bbc-997e-71101243f2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d592a56-bdee-4f47-9226-d5394f92baa8}" ma:internalName="TaxCatchAll" ma:showField="CatchAllData" ma:web="28fab7e5-47aa-4bbc-997e-71101243f2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C665CF-3EFC-4285-928B-B89367C3C9FD}"/>
</file>

<file path=customXml/itemProps2.xml><?xml version="1.0" encoding="utf-8"?>
<ds:datastoreItem xmlns:ds="http://schemas.openxmlformats.org/officeDocument/2006/customXml" ds:itemID="{2D1DFFFC-8C15-41E3-9C58-5A71B3C3CA4D}"/>
</file>

<file path=customXml/itemProps3.xml><?xml version="1.0" encoding="utf-8"?>
<ds:datastoreItem xmlns:ds="http://schemas.openxmlformats.org/officeDocument/2006/customXml" ds:itemID="{C28013AA-7E85-4EB8-8BE1-0EDDBF33C6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Bixler, Drew W</dc:creator>
  <cp:keywords/>
  <dc:description/>
  <cp:lastModifiedBy>Bixler, Drew W</cp:lastModifiedBy>
  <cp:revision/>
  <dcterms:created xsi:type="dcterms:W3CDTF">2026-04-18T19:25:00Z</dcterms:created>
  <dcterms:modified xsi:type="dcterms:W3CDTF">2026-04-29T21:16:00Z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0x010100982C344BA6B0DA4BB71C19E3ABE649CE</vt:lpwstr>
  </property>
  <property fmtid="{D5CDD505-2E9C-101B-9397-08002B2CF9AE}" pid="3" name="MediaServiceImageTags">
    <vt:lpwstr/>
  </property>
</Properties>
</file>