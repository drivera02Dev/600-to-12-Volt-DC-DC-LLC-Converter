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560" documentId="11_50A4DA9A6F5DFE621274CE88DA7948A90EB9B46E" xr6:coauthVersionLast="47" xr6:coauthVersionMax="47" xr10:uidLastSave="{340037B0-785F-4CD6-9F55-1F3C197D4AE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9" i="1" l="1"/>
  <c r="T97" i="1"/>
  <c r="T96" i="1"/>
  <c r="T77" i="1"/>
  <c r="T76" i="1"/>
  <c r="T75" i="1"/>
  <c r="T74" i="1"/>
  <c r="T73" i="1"/>
  <c r="T72" i="1"/>
  <c r="T70" i="1"/>
  <c r="T71" i="1"/>
  <c r="T69" i="1"/>
  <c r="T68" i="1"/>
  <c r="T67" i="1"/>
  <c r="T66" i="1"/>
  <c r="T64" i="1"/>
  <c r="T63" i="1"/>
  <c r="T62" i="1"/>
  <c r="T49" i="1"/>
  <c r="T48" i="1"/>
  <c r="T47" i="1"/>
  <c r="T39" i="1"/>
  <c r="T38" i="1"/>
  <c r="T30" i="1"/>
  <c r="T26" i="1"/>
  <c r="T25" i="1"/>
  <c r="T24" i="1"/>
  <c r="T23" i="1"/>
  <c r="T22" i="1"/>
  <c r="T19" i="1"/>
  <c r="T18" i="1"/>
  <c r="T17" i="1"/>
  <c r="T16" i="1"/>
  <c r="T15" i="1"/>
  <c r="T14" i="1"/>
  <c r="T13" i="1"/>
  <c r="T12" i="1"/>
  <c r="T11" i="1"/>
  <c r="T9" i="1"/>
  <c r="V2" i="1"/>
</calcChain>
</file>

<file path=xl/sharedStrings.xml><?xml version="1.0" encoding="utf-8"?>
<sst xmlns="http://schemas.openxmlformats.org/spreadsheetml/2006/main" count="406" uniqueCount="356">
  <si>
    <t>Reference</t>
  </si>
  <si>
    <t>Value</t>
  </si>
  <si>
    <t>Manufacturer_Part_Number</t>
  </si>
  <si>
    <t>DigiKey Link</t>
  </si>
  <si>
    <t>Price</t>
  </si>
  <si>
    <t># of Parts</t>
  </si>
  <si>
    <t>Total (Parts Only)</t>
  </si>
  <si>
    <t>C1</t>
  </si>
  <si>
    <t>2uF</t>
  </si>
  <si>
    <t>MKP1848520704K2</t>
  </si>
  <si>
    <t>Mouser</t>
  </si>
  <si>
    <t>https://www.mouser.com/ProductDetail/Vishay-Roederstein/MKP1848520704K2?qs=i2mp%2Fn9EmlIrcjrkAqMz2A%3D%3D</t>
  </si>
  <si>
    <t>C3</t>
  </si>
  <si>
    <t>22nF</t>
  </si>
  <si>
    <t>R76UI22205050J</t>
  </si>
  <si>
    <t>https://www.digikey.com/en/products/detail/kemet/R76UI22205050J/13687133?s=N4IgTCBcDaIEoHYBsBVAkmTAGArLrAUiALoC%2BQA</t>
  </si>
  <si>
    <t>C4</t>
  </si>
  <si>
    <t>3.3nF</t>
  </si>
  <si>
    <t>VY1332M59Y5UQ63V0</t>
  </si>
  <si>
    <t>https://www.digikey.com/en/products/detail/vishay-beyschlag-draloric-bc-components/VY1332M59Y5UQ63V0/1983416?s=N4IgTCBcDaIGoE0CMBmFYCyBWAnArAqgIoBsKcADCALoC%2BQA</t>
  </si>
  <si>
    <t>C29</t>
  </si>
  <si>
    <t>1V</t>
  </si>
  <si>
    <t>C0603C470J1HACTU</t>
  </si>
  <si>
    <t>https://www.digikey.com/en/products/detail/kemet/C0603C470J1HACTU/7946650?s=N4IgTCBcDaIMIAYBsCDMcAsB2BApAjABICCcAKgKogC6AvkA</t>
  </si>
  <si>
    <t>C39</t>
  </si>
  <si>
    <t>470pF</t>
  </si>
  <si>
    <t>885342208005</t>
  </si>
  <si>
    <t>https://www.digikey.com/en/products/detail/w%C3%BCrth-elektronik/885342208005/9345922?s=N4IgTCBcDaIBxwKwGYAsYwAY6c4kAugL5A</t>
  </si>
  <si>
    <t>C43</t>
  </si>
  <si>
    <t>470nF</t>
  </si>
  <si>
    <t>UMK107ABJ474KA-T</t>
  </si>
  <si>
    <t>https://www.digikey.com/en/products/detail/taiyo-yuden/UMK107ABJ474KA-T/3194980?s=N4IgTCBcDaIKoFkDSBGADAdgIICEBSALBgUlgLQAqIAugL5A</t>
  </si>
  <si>
    <t>C11,C13</t>
  </si>
  <si>
    <t>2200uF</t>
  </si>
  <si>
    <t>UHW1V222MHD</t>
  </si>
  <si>
    <t>https://www.digikey.com/en/products/detail/nichicon/UHW1V222MHD/3664337</t>
  </si>
  <si>
    <t>C14,C28</t>
  </si>
  <si>
    <t>100nF</t>
  </si>
  <si>
    <t>HMJ107BB7104KAHT</t>
  </si>
  <si>
    <t>https://www.digikey.com/en/products/detail/taiyo-yuden/HMJ107BB7104KAHT/5880029?s=N4IgTCBcDaIBIFkBSBGADAdgEJY%2BgLANICCcAKiALoC%2BQA</t>
  </si>
  <si>
    <t>C15,C40,C41</t>
  </si>
  <si>
    <t>2.2uF</t>
  </si>
  <si>
    <t>CL21B225KBYNNWE</t>
  </si>
  <si>
    <t>https://www.mouser.com/ProductDetail/Samsung-Electro-Mechanics/CL21B225KBYNNWE?qs=81r%252BiQLm7BSQ0niHgk%2FU1g%3D%3D&amp;srsltid=AfmBOopKWWCUGHqtdEmDIQjM5mrJYaJRGKmhQYi7OZAmAtCNfBEum3td</t>
  </si>
  <si>
    <t>C16,C49,C50,C51,C52,C53,C56,C57</t>
  </si>
  <si>
    <t>1nF</t>
  </si>
  <si>
    <t>885342206003</t>
  </si>
  <si>
    <t>https://www.digikey.com/en/products/detail/w%C3%BCrth-elektronik/885342206003/9345996?s=N4IgTCBcDaIBxwKwGYAsYwAYBsnPJAF0BfIA</t>
  </si>
  <si>
    <t>C17,C19,C25,C31,C45</t>
  </si>
  <si>
    <t>1uF</t>
  </si>
  <si>
    <t>CL10B105KB9VPJC</t>
  </si>
  <si>
    <t>Substitute</t>
  </si>
  <si>
    <t>https://www.digikey.com/en/products/detail/samsung-electro-mechanics/CL10B105KB9VPJC/20498526</t>
  </si>
  <si>
    <t>C20,C21,C22,C23,C24</t>
  </si>
  <si>
    <t>47uF</t>
  </si>
  <si>
    <t>MSAST32MAB5476MPNDT1</t>
  </si>
  <si>
    <t>Swapped</t>
  </si>
  <si>
    <t>https://www.mouser.com/ProductDetail/TAIYO-YUDEN/MSAST32MAB5476MPNDT1?qs=tlsG%2FOw5FFjVcfO8xtWwSA%3D%3D&amp;srsltid=AfmBOooFBKPDf0gEVtrNuIHR_xuWBmSz77v_xyzSqTpt9MOE-zgGd6QG</t>
  </si>
  <si>
    <t>C26,C44,C47</t>
  </si>
  <si>
    <t>C0603C223K1RAC</t>
  </si>
  <si>
    <t>https://www.digikey.com/en/products/detail/kemet/C0603C223K1RACTU/754738</t>
  </si>
  <si>
    <t>C30,C32,C48</t>
  </si>
  <si>
    <t>10nF</t>
  </si>
  <si>
    <t xml:space="preserve">C0603C103K2RECTU				</t>
  </si>
  <si>
    <t>https://www.digikey.com/en/products/detail/kemet/C0603C103K2RECTU/6825425?s=N4IgTCBcDaIMIAYBsCDMcCMaDSYBKAonACoCqIAugL5A</t>
  </si>
  <si>
    <t>C34,C35,C36,C37</t>
  </si>
  <si>
    <t>5.6nF</t>
  </si>
  <si>
    <t>C1210C562JDGACAUTO</t>
  </si>
  <si>
    <t>https://www.digikey.com/en/products/detail/kemet/C1210C562JDGACAUTO/16889526?s=N4IgTCBcDaIMIEYwIAxwKwDYwCkAiA4gIJxECqAKgPIgC6AvkA</t>
  </si>
  <si>
    <t>C5,C33,C46</t>
  </si>
  <si>
    <t>10uF</t>
  </si>
  <si>
    <t>TMK212BBJ106KG-T</t>
  </si>
  <si>
    <t>https://www.digikey.com/en/products/detail/taiyo-yuden/TMK212BBJ106KG-T/2714163?s=N4IgTCBcDaICoFkDSYCMYBCGBSqAMAbEgOIC0cIAugL5A</t>
  </si>
  <si>
    <t>C6,C9</t>
  </si>
  <si>
    <t>1 nF</t>
  </si>
  <si>
    <t>SH31B102K631CT</t>
  </si>
  <si>
    <t>https://www.mouser.com/ProductDetail/Walsin/SH31B102K631CT?qs=ZrPdAQfJ6DPRDGJZHcu%252BNw%3D%3D</t>
  </si>
  <si>
    <t>C8,C12,C18,C27,C42,C54</t>
  </si>
  <si>
    <t>22uF</t>
  </si>
  <si>
    <t>CL21A226MAYNNNE</t>
  </si>
  <si>
    <t>https://www.digikey.com/en/products/detail/samsung-electro-mechanics/CL21A226MAYNNNE/10479857?s=N4IgTCBcDaIMIBkwEYCCYwDYCyqCaAckQKIgC6AvkA</t>
  </si>
  <si>
    <t>C_start1</t>
  </si>
  <si>
    <t>3.8V 25F Supercap</t>
  </si>
  <si>
    <t>VMF256M3R8</t>
  </si>
  <si>
    <t>https://www.digikey.com/en/products/detail/cornell-dubilier-knowles/VMF256M3R8/13665381?s=N4IgTCBcDaIGoFkBiYCsA2BBmASgDhAF0BfIA</t>
  </si>
  <si>
    <t>D1</t>
  </si>
  <si>
    <t>HV_Orange</t>
  </si>
  <si>
    <t>APTD1608LSECK/J4-PF</t>
  </si>
  <si>
    <t>https://www.digikey.com/en/products/detail/kingbright/APTD1608LSECK-J4-PF/5177447?s=N4IgTCBcDaIIIAUAqARAjANgAwA4AyAygKIDCA0gPQBSALALQIBiIAugL5A</t>
  </si>
  <si>
    <t>D11,D12,D14</t>
  </si>
  <si>
    <t>VS-E7FX0212-M3/I</t>
  </si>
  <si>
    <t xml:space="preserve"> VS-E7FX0212-M3/I</t>
  </si>
  <si>
    <t>https://www.digikey.com/en/products/detail/vishay-general-semiconductor-diodes-division/VS-E7FX0212-M3-I/22145760?s=N4IgTCBcDaIAQDUDKBaAogdgGIA0AMYAjGCgLIDMA9AJIgC6AvkA</t>
  </si>
  <si>
    <t>D2,D10,D17,D18</t>
  </si>
  <si>
    <t>1N4448</t>
  </si>
  <si>
    <t>1N4448WQ-7-F</t>
  </si>
  <si>
    <t>https://www.digikey.com/en/products/detail/diodes-incorporated/1N4448WQ-7-F/5176053?s=N4IgTCBcDaIIwDkAsKAcB1AigWgOzYDEQBdAXyA</t>
  </si>
  <si>
    <t>D3,D4,D5,D6,D7</t>
  </si>
  <si>
    <t>Green</t>
  </si>
  <si>
    <t>IN-S63AT5G</t>
  </si>
  <si>
    <t>https://www.mouser.com/ProductDetail/Inolux/IN-S63AT5G?qs=fAHHVMwC%252Bbiw6WrSEma0zA%3D%3D</t>
  </si>
  <si>
    <t>D8,D15,D16</t>
  </si>
  <si>
    <t>CDSOD323-T12</t>
  </si>
  <si>
    <t>https://www.digikey.com/en/products/detail/bourns-inc/CDSOD323-T12/3781956</t>
  </si>
  <si>
    <t>D9,D13</t>
  </si>
  <si>
    <t>SS1H10</t>
  </si>
  <si>
    <t>SS1H10-M3/61T</t>
  </si>
  <si>
    <t>https://www.digikey.com/en/products/detail/vishay-general-semiconductor-diodes-division/SS1H10-M3-61T/4874528?s=N4IgTCBcDaIMpwIwAlEAYC0BZAzAegDZEAVEAXQF8g</t>
  </si>
  <si>
    <t>F1</t>
  </si>
  <si>
    <t>1.6A</t>
  </si>
  <si>
    <t xml:space="preserve">0ADBC1600-BE </t>
  </si>
  <si>
    <t>https://www.digikey.com/en/products/detail/bel-fuse-inc/0ADBC1600-BE/8028439?s=N4IgTCBcDaIAwEEAiAhAwgRgGxzgWhQFEACEAXQF8g</t>
  </si>
  <si>
    <t>F2</t>
  </si>
  <si>
    <t>500mA</t>
  </si>
  <si>
    <t>0154.500DR</t>
  </si>
  <si>
    <t>https://www.digikey.com/en/products/detail/littelfuse-inc/0154-500DR/183350</t>
  </si>
  <si>
    <t>F3</t>
  </si>
  <si>
    <t>30A</t>
  </si>
  <si>
    <t>CB61F30A-TR1</t>
  </si>
  <si>
    <t>https://www.digikey.com/en/products/detail/eaton-electronics-division/CB61F30A-TR1/13618602</t>
  </si>
  <si>
    <t>F1.1,F1.2</t>
  </si>
  <si>
    <t>~</t>
  </si>
  <si>
    <t>01220083Z</t>
  </si>
  <si>
    <t>https://www.digikey.com/en/products/detail/littelfuse-inc/01220083Z/2498890?s=N4IgTCBcDaIAwEYxjnAHAZgFogLoF8g</t>
  </si>
  <si>
    <t>J1</t>
  </si>
  <si>
    <t>Screw_Terminal_01x03</t>
  </si>
  <si>
    <t>282828-2</t>
  </si>
  <si>
    <t>https://www.digikey.com/en/products/detail/te-connectivity-amp-connectors/282828-2/1150131</t>
  </si>
  <si>
    <t>J1.1</t>
  </si>
  <si>
    <t>284051-2</t>
  </si>
  <si>
    <t>https://www.mouser.com/ProductDetail/TE-Connectivity/284051-2?qs=OYEvAappxlxBiuwfKz%2FgFA%3D%3D</t>
  </si>
  <si>
    <t>J1.2</t>
  </si>
  <si>
    <t>282809-2</t>
  </si>
  <si>
    <t>https://www.digikey.com/en/products/detail/te-connectivity-amp-connectors/282809-2/1153255</t>
  </si>
  <si>
    <t>J3</t>
  </si>
  <si>
    <t>Conn_01x02</t>
  </si>
  <si>
    <t>43650-0215</t>
  </si>
  <si>
    <t>https://www.digikey.com/en/products/detail/molex/0436500215/283461?s=N4IgTCBcDaICwGYBsBWADAWjWAjCkAugL5A</t>
  </si>
  <si>
    <t>43645-0200</t>
  </si>
  <si>
    <t>https://www.digikey.com/en/products/detail/molex/0436450200/268974?s=N4IgTCBcDaICwGYBscCsBaADGTmQF0BfIA</t>
  </si>
  <si>
    <t>J5</t>
  </si>
  <si>
    <t>XT60 Male</t>
  </si>
  <si>
    <t>J5.1</t>
  </si>
  <si>
    <t>XT60 Female (wrong symbol ik)</t>
  </si>
  <si>
    <t>J2,J4,J6,J7,J8</t>
  </si>
  <si>
    <t>Conn_01x02_Male</t>
  </si>
  <si>
    <t>42375-2486</t>
  </si>
  <si>
    <t>https://www.mouser.com/ProductDetail/Molex/42375-2486?qs=ZGcr3cVYdJDHJgFjWDdRLQ%3D%3D</t>
  </si>
  <si>
    <t>J3.2,J3.3</t>
  </si>
  <si>
    <t>Conn_01x01_Pin</t>
  </si>
  <si>
    <t>35044-9102</t>
  </si>
  <si>
    <t>https://www.mouser.com/ProductDetail/Molex/35044-9102?qs=ZlMU7IUseCu3dWv7JcWPgw%3D%3D</t>
  </si>
  <si>
    <t>JP1</t>
  </si>
  <si>
    <t>Fan Voltage Select</t>
  </si>
  <si>
    <t>L1</t>
  </si>
  <si>
    <t>4.7uH</t>
  </si>
  <si>
    <t>ASPI-4030S-4R7M-T</t>
  </si>
  <si>
    <t>https://www.digikey.com/en/products/detail/abracon-llc/ASPI-4030S-4R7M-T/4215208?s=N4IgTCBcDaIIIGUAKBJAtAFgAwGYsMwCUB2AWTQBUQBdAXyA</t>
  </si>
  <si>
    <t>L2</t>
  </si>
  <si>
    <t>800 nH</t>
  </si>
  <si>
    <t>7443091080</t>
  </si>
  <si>
    <t>https://www.mouser.com/ProductDetail/Wurth-Elektronik/7443091080?qs=d0WKAl%252BL4Kbr2mCzOvoWHA%3D%3D</t>
  </si>
  <si>
    <t>L3</t>
  </si>
  <si>
    <t>10uH</t>
  </si>
  <si>
    <t>ASPI-4030S-100M-T</t>
  </si>
  <si>
    <t>https://www.digikey.com/en/products/detail/abracon-llc/ASPI-4030S-100M-T/4215200?s=N4IgTCBcDaIIIGUAKBJAtAFgAwGYsLQEYssBZNAFRAF0BfIA</t>
  </si>
  <si>
    <t>M1</t>
  </si>
  <si>
    <t>Fan</t>
  </si>
  <si>
    <t>Q3</t>
  </si>
  <si>
    <t>SIHP24N80AE-GE3</t>
  </si>
  <si>
    <t>MOSFET</t>
  </si>
  <si>
    <t>https://www.digikey.com/en/products/detail/vishay-siliconix/SIHP24N80AE-GE3/11573521?s=N4IgTCBcDaIMoEkASAFMAWAcgDgAwEEBRAWgHFCBmEAXQF8g</t>
  </si>
  <si>
    <t>Q4</t>
  </si>
  <si>
    <t>IXYP8N90C3</t>
  </si>
  <si>
    <t>IXYP8N90C3 IXYS | Mouser</t>
  </si>
  <si>
    <t>Q1,Q2,Q5,Q6,Q7</t>
  </si>
  <si>
    <t>PMV20ENR</t>
  </si>
  <si>
    <t>https://www.digikey.com/en/products/detail/nexperia-usa-inc/PMV20ENR/5395792</t>
  </si>
  <si>
    <t>Q10,Q11</t>
  </si>
  <si>
    <t>IMBG65R050M2HXTMA1</t>
  </si>
  <si>
    <t>https://www.digikey.com/en/products/detail/infineon-technologies/IMBG65R050M2HXTMA1/22157833?s=N4IgTCBcDaIJIFkBCBxAbAVgEoAYM4TAAkANAFQQEEBGEAXQF8g</t>
  </si>
  <si>
    <t>Q8,Q9</t>
  </si>
  <si>
    <t>BSC027N06LS5ATMA1</t>
  </si>
  <si>
    <t>https://www.digikey.com/en/products/detail/infineon-technologies/BSC027N06LS5ATMA1/7428067?s=N4IgTCBcDaIEIGUDCAGMB2AcigbAGQQFYBBAFQFliBGEAXQF8g</t>
  </si>
  <si>
    <t>R6</t>
  </si>
  <si>
    <t>ERJ-P08J470V</t>
  </si>
  <si>
    <t>https://www.digikey.com/en/products/detail/panasonic-electronic-components/ERJ-P08J470V/525395?s=N4IgTCBcDaIKICUBSBaACgBgBxICwHYMA1EAXQF8g</t>
  </si>
  <si>
    <t>R25</t>
  </si>
  <si>
    <t>240k</t>
  </si>
  <si>
    <t>AC0603FR-07240KL</t>
  </si>
  <si>
    <t>https://www.digikey.com/en/products/detail/yageo/AC0603FR-07240KL/5895936?s=N4IgTCBcDaIIIGEAMA2JBmAYgJQLRIHYwAWJAaQBkQBdAXyA</t>
  </si>
  <si>
    <t>R35</t>
  </si>
  <si>
    <t>330k</t>
  </si>
  <si>
    <t>AC0603JR-07330KL</t>
  </si>
  <si>
    <t>https://www.digikey.com/en/products/detail/yageo/AC0603JR-07330KL/5896434?s=N4IgTCBcDaIIIGEAMA2JBmAUgJQLRIHZ10kBpAGRAF0BfIA</t>
  </si>
  <si>
    <t>R37</t>
  </si>
  <si>
    <t>47k</t>
  </si>
  <si>
    <t>RC0603FR-0747KL</t>
  </si>
  <si>
    <t>https://www.digikey.com/en/products/detail/yageo/RC0603FR-0747KL/727253?s=N4IgTCBcDaIEoGEAMA2JBmAYnAtEg7ACz4DSAMiALoC%2BQA</t>
  </si>
  <si>
    <t>R44</t>
  </si>
  <si>
    <t>CRCW0603510RFKEBC</t>
  </si>
  <si>
    <t>https://www.digikey.com/en/products/detail/vishay-dale/CRCW0603510RFKEAC/9461231</t>
  </si>
  <si>
    <t>R46</t>
  </si>
  <si>
    <t>CR1206-FX-20R0ELF</t>
  </si>
  <si>
    <t>https://www.digikey.com/en/products/detail/bourns-inc/CR1206-FX-20R0ELF/2562853?s=N4IgTCBcDaIMICUCMYAMA2AtAMQBqbQVQFEAZbEAXQF8g</t>
  </si>
  <si>
    <t>R54</t>
  </si>
  <si>
    <t>10M</t>
  </si>
  <si>
    <t>CHV1206-JW-106ELF</t>
  </si>
  <si>
    <t>https://www.digikey.com/en/products/detail/bourns-inc/CHV1206-JW-106ELF/5175979?s=N4IgTCBcDaIMIAkBqBGMAGAbAWgFIHVsUsBRAGQDEQBdAXyA</t>
  </si>
  <si>
    <t>R60</t>
  </si>
  <si>
    <t>82k</t>
  </si>
  <si>
    <t>RC0603JR-0782KL</t>
  </si>
  <si>
    <t>https://www.digikey.com/en/products/detail/yageo/RC0603JR-0782KL/726835?s=N4IgTCBcDaIEoGEAMA2JBmAUnAtEg7ABxgDSAMiALoC%2BQA</t>
  </si>
  <si>
    <t>R64</t>
  </si>
  <si>
    <t>820k</t>
  </si>
  <si>
    <t>CR0603-FX-8203ELF</t>
  </si>
  <si>
    <t>https://www.digikey.com/en/products/detail/bourns-inc/CR0603-FX-8203ELF/3784187?s=N4IgTCBcDaIMICUAMA2JBmAtAMQBqYA4wMBRAGWxAF0BfIA</t>
  </si>
  <si>
    <t>R65</t>
  </si>
  <si>
    <t>510k</t>
  </si>
  <si>
    <t>CR0603-JW-514ELF</t>
  </si>
  <si>
    <t>https://www.digikey.com/en/products/detail/bourns-inc/CR0603-JW-514ELF/3784396?s=N4IgTCBcDaIMICUAMA2JBmAtAKQOqYFYBGAFgFEAZAMRAF0BfIA</t>
  </si>
  <si>
    <t>R68</t>
  </si>
  <si>
    <t>1.6M</t>
  </si>
  <si>
    <t>AC0603FR-071M6L</t>
  </si>
  <si>
    <t>https://www.digikey.com/en/products/detail/yageo/AC0603FR-071M6L/5895885?s=N4IgTCBcDaIIIGEAMA2JBmAYgJQLRIHYBGAWRQBkQBdAXyA</t>
  </si>
  <si>
    <t>R75</t>
  </si>
  <si>
    <t>100k</t>
  </si>
  <si>
    <t>ESR03EZPJ104</t>
  </si>
  <si>
    <t>https://www.digikey.com/en/products/detail/rohm-semiconductor/ESR03EZPJ104/4051180?s=N4IgTCBcDaIKIGUBKAGAzHAWgBQFIEYUAWEAXQF8g</t>
  </si>
  <si>
    <t>R1,R71</t>
  </si>
  <si>
    <t>100M</t>
  </si>
  <si>
    <t>CHV2512-JW-107ELF</t>
  </si>
  <si>
    <t>https://www.digikey.com/en/products/detail/bourns-inc/CHV2512-JW-107ELF/5175993?s=N4IgTCBcDaIMIAkBqYCsBGMBaAUgdS3QAYB2AUQBkAxEAXQF8g</t>
  </si>
  <si>
    <t>R13,R19</t>
  </si>
  <si>
    <t>RC1206JR-7W100RL</t>
  </si>
  <si>
    <t>https://www.digikey.com/en/products/detail/yageo/RC1206JR-7W100RL/12698867?s=N4IgTCBcDaIEoGECMYAMA2AUnAtAdgHUlVU4AZEAXQF8g</t>
  </si>
  <si>
    <t>R24</t>
  </si>
  <si>
    <t>27k</t>
  </si>
  <si>
    <t>CR0603-JW-273ELF</t>
  </si>
  <si>
    <t>https://www.digikey.com/en/products/detail/bourns-inc/CR0603-JW-273ELF/3784345?s=N4IgTCBcDaIMICUAMA2JBmAtAKQOqbAHZ0BRAGQDEQBdAXyA</t>
  </si>
  <si>
    <t>R17</t>
  </si>
  <si>
    <t>18K</t>
  </si>
  <si>
    <t>MCT06030C1802FP500</t>
  </si>
  <si>
    <t>https://www.digikey.com/en/products/detail/vishay/MCT06030C1802FP500/2607835</t>
  </si>
  <si>
    <t>R18,R27,R50</t>
  </si>
  <si>
    <t>470k</t>
  </si>
  <si>
    <t>RCS0603470KJNEA</t>
  </si>
  <si>
    <t>https://www.digikey.com/en/products/detail/vishay-dale/CRCW0603470KJNEAHP/2222827</t>
  </si>
  <si>
    <t>R2,R72</t>
  </si>
  <si>
    <t>ERJ-P06J334V</t>
  </si>
  <si>
    <t>https://www.digikey.com/en/products/detail/panasonic-electronic-components/ERJ-P06J334V/525259?s=N4IgTCBcDaIKICUBSBaACgBgGxIMy4BYA1EAXQF8g</t>
  </si>
  <si>
    <t>R26,R45,R47,R53,R67,R70</t>
  </si>
  <si>
    <t>R28, R34, R66</t>
  </si>
  <si>
    <t>33k</t>
  </si>
  <si>
    <t>AC0603FR-0733KL</t>
  </si>
  <si>
    <t>https://www.digikey.com/en/products/detail/yageo/AC0603FR-0733KL/5896041?s=N4IgTCBcDaIIIGEAMA2JBmAYgJQLRIHZ10BpAGRAF0BfIA</t>
  </si>
  <si>
    <t>R31,R36,R12</t>
  </si>
  <si>
    <t>4.7k</t>
  </si>
  <si>
    <t>CRCW06034K70FKEC</t>
  </si>
  <si>
    <t>https://www.digikey.com/en/products/detail/vishay-dale/CRCW06034K70FKEC/5072685</t>
  </si>
  <si>
    <t>R32,R42</t>
  </si>
  <si>
    <t>ERJ-P08J4R7V</t>
  </si>
  <si>
    <t>https://www.digikey.com/en/products/detail/panasonic-electronic-components/ERJ-P08J4R7V/9813211?s=N4IgTCBcDaIKICUBSBaACgBgBxICwIHYA1EAXQF8g</t>
  </si>
  <si>
    <t>R59,R61</t>
  </si>
  <si>
    <t>1k</t>
  </si>
  <si>
    <t>ESR03EZPJ102</t>
  </si>
  <si>
    <t>https://www.digikey.com/en/products/detail/rohm-semiconductor/ESR03EZPJ102/1762721?s=N4IgTCBcDaIKIGUBKAGAzHAWgBQFIEYUIBdAXyA</t>
  </si>
  <si>
    <t>R5,R7,R9,R11,R15,R16,R21,R23,R30,R33,R40,R43,R51,R52,R55,R57,R63</t>
  </si>
  <si>
    <t>10k</t>
  </si>
  <si>
    <t>ESR03EZPJ103</t>
  </si>
  <si>
    <t>https://www.digikey.com/en/products/detail/rohm-semiconductor/ESR03EZPJ103/1762722?s=N4IgTCBcDaIKIGUBKAGAzHAWgBQFIEZ0QBdAXyA</t>
  </si>
  <si>
    <t>R56,R58</t>
  </si>
  <si>
    <t>RC1206FR-7W10RL</t>
  </si>
  <si>
    <t>https://www.digikey.com/en/products/detail/yageo/RC1206FR-7W10RL/12698915?s=N4IgTCBcDaIEoGECMYAMA2AYnAtAdgHUlU4AZEAXQF8g</t>
  </si>
  <si>
    <t>R62,R69</t>
  </si>
  <si>
    <t>CRCW0603100MJPEAHR</t>
  </si>
  <si>
    <t>https://www.digikey.com/en/products/detail/vishay-dale/CRCW0603100MJPEAHR/3232293?s=N4IgTCBcDaIMICU4HUAMA2VBmAjK1AsgFIAKAogIIASCIAugL5A</t>
  </si>
  <si>
    <t>R73,R74</t>
  </si>
  <si>
    <t>ERJ-PA3J100V</t>
  </si>
  <si>
    <t>https://www.digikey.com/en/products/detail/panasonic-electronic-components/ERJ-PA3J100V/5035968?s=N4IgTCBcDaIKICUBSBaACgQQMxIIwAZ8A1EAXQF8g</t>
  </si>
  <si>
    <t>R8,R22,R29,R38,R39,R41,R48,R49</t>
  </si>
  <si>
    <t>2.2k</t>
  </si>
  <si>
    <t>ESR03EZPJ222</t>
  </si>
  <si>
    <t>https://www.digikey.com/en/products/detail/rohm-semiconductor/ESR03EZPJ222/1762726?s=N4IgTCBcDaIKIGUBKAGAzHAWgBQFJgJAF0BfIA</t>
  </si>
  <si>
    <t>RV1</t>
  </si>
  <si>
    <t>20k</t>
  </si>
  <si>
    <t>PVG3A203C01R00</t>
  </si>
  <si>
    <t>https://www.digikey.com/en/products/detail/bourns-inc/PVG3A203C01R00/666277?s=N4IgTCBcDaIAoDUDiBmAgmADCgwpgjAEqaYgC6AvkA</t>
  </si>
  <si>
    <t>RV2</t>
  </si>
  <si>
    <t>PVG5A103C03R00</t>
  </si>
  <si>
    <t>https://www.digikey.com/en/products/detail/bourns-inc/PVG5A103C03R00/666288?s=N4IgTCBcDaIAoDUDiBWAggRgAwGYDCuASlliALoC%2BQA</t>
  </si>
  <si>
    <t>T1</t>
  </si>
  <si>
    <t>DIY Transformer ETD 39</t>
  </si>
  <si>
    <t>B66363G0000X197</t>
  </si>
  <si>
    <t>https://www.digikey.com/en/products/detail/epcos-tdk-electronics/B66363G0000X197/3914821?s=N4IgTCBcDaIEIDYEGYUHEAMWMA0CMAnAOwgC6AvkA</t>
  </si>
  <si>
    <t>T1.1</t>
  </si>
  <si>
    <t>Ferrite Core</t>
  </si>
  <si>
    <t>T1.2</t>
  </si>
  <si>
    <t>Ferrite Core (gapped)</t>
  </si>
  <si>
    <t>B66363G1000X127</t>
  </si>
  <si>
    <t>https://www.mouser.com/ProductDetail/EPCOS-TDK/B66363G1000X127?qs=wDNl1cNI0GtCaGtNmNbDKg%3D%3D</t>
  </si>
  <si>
    <t>T1.3</t>
  </si>
  <si>
    <t>1800 mm 120 x 0.1 mm HF litz wire (Prim)</t>
  </si>
  <si>
    <t>120 x 0.1 mm</t>
  </si>
  <si>
    <t>T1.4,T1.5</t>
  </si>
  <si>
    <t>165 mm 600 x 0,071 mm HF litz wire (inner Sec)</t>
  </si>
  <si>
    <t>TH1</t>
  </si>
  <si>
    <t>3.9k PTC (read build guide!)</t>
  </si>
  <si>
    <t>TFPTL15L3901FL2B</t>
  </si>
  <si>
    <t>https://www.digikey.com/en/products/detail/vishay-dale/TFPTL15L3901FL2B/3074235?s=N4IgTCBcDaICoDEAKcAyBGArKgzATgAZ0FUwAhEAXQF8g</t>
  </si>
  <si>
    <t>TH2</t>
  </si>
  <si>
    <t>1k PTC</t>
  </si>
  <si>
    <t>TFPT0603L1001DV</t>
  </si>
  <si>
    <t>https://www.digikey.com/en/products/detail/vishay-dale/TFPT0603L1001DV/1869740?s=N4IgTCBcDaICoDEAKcAMA2VBmAMgRlVTwBEA1EAXQF8g</t>
  </si>
  <si>
    <t>U1</t>
  </si>
  <si>
    <t>TBA 1-1212HI</t>
  </si>
  <si>
    <t>https://www.digikey.com/en/products/detail/traco-power/TBA-1-1212HI/9698317?s=N4IgTCBcDaICoCECCACAjAWjWbAJAkiALoC%2BQA</t>
  </si>
  <si>
    <t>U2</t>
  </si>
  <si>
    <t>RT9058-90GVL</t>
  </si>
  <si>
    <t>Only Available Through Mouser</t>
  </si>
  <si>
    <t>https://www.mouser.com/ProductDetail/Richtek/RT9058-90GVL?qs=amGC7iS6iy%2FmB38%252BYpIKLg%3D%3D</t>
  </si>
  <si>
    <t>https://www.mouser.com/ProductDetail/Richtek/RT9058-90GVL?qs=amGC7iS6iy%2FmB38%252BYpIKLg%3D%3D&amp;srsltid=AfmBOoogkun1HYbmM2PrjzMi_0iZdmmFXs5-GDWZMgXTgHTHWRwULSKQ</t>
  </si>
  <si>
    <t>U3</t>
  </si>
  <si>
    <t>MP4541_SOP8-EP</t>
  </si>
  <si>
    <t>MP4541GN-Z</t>
  </si>
  <si>
    <t>https://www.digikey.com/en/products/detail/monolithic-power-systems-inc/MP4541GN-Z/15861774?s=N4IgTCBcDaILIAUAsBWJBGA4gOQLQC0QBdAXyA</t>
  </si>
  <si>
    <t>U4</t>
  </si>
  <si>
    <t>TLV61048DBVR</t>
  </si>
  <si>
    <t>https://www.digikey.com/en/products/detail/texas-instruments/TLV61048DBVR/10715594?s=N4IgTCBcDaICoBkBqA2AjABgCwA4AiAQkgEogC6AvkA</t>
  </si>
  <si>
    <t>U7</t>
  </si>
  <si>
    <t>TL431</t>
  </si>
  <si>
    <t>TL431BCDBZR</t>
  </si>
  <si>
    <t>https://www.mouser.com/ProductDetail/Texas-Instruments/TL431BCDBZR?qs=odmYgEirbwwErD0j5e5Iiw%3D%3D&amp;srsltid=AfmBOopq-txSL-Gr8RfUx2M_AImUW0OIzwfHF1MQHLEIZtqk0m-HEqr0</t>
  </si>
  <si>
    <t>U9</t>
  </si>
  <si>
    <t>ACPL-217-50AE</t>
  </si>
  <si>
    <t>ACPL-217-560E</t>
  </si>
  <si>
    <t>https://www.mouser.com/ProductDetail/Broadcom-Avago/ACPL-217-560E?qs=dcm2zoLQumAV2Tz247VNgA%3D%3D&amp;srsltid=AfmBOootfC4dmJcvylDWVs_GW2_dewU8Rcrjy5Av1Gz7un63m-5D1lmt</t>
  </si>
  <si>
    <t>U11</t>
  </si>
  <si>
    <t>UCC21520DW</t>
  </si>
  <si>
    <t>https://www.mouser.com/ProductDetail/Texas-Instruments/UCC21520DW?qs=zEmsApcVOkX3g4f0E3%252BNKw%3D%3D&amp;srsltid=AfmBOopSgqbwsB7Jn4FNY8VYoTB15hvX6Oq6325oGk0OVRcbHBybyDlv</t>
  </si>
  <si>
    <t>U12</t>
  </si>
  <si>
    <t>UCC25600</t>
  </si>
  <si>
    <t>UCC25600DR</t>
  </si>
  <si>
    <t>https://www.digikey.com/en/products/detail/texas-instruments/UCC25600DR/2048154</t>
  </si>
  <si>
    <t>U13</t>
  </si>
  <si>
    <t>ZXRE330ASA-7</t>
  </si>
  <si>
    <t>https://www.digikey.com/en/products/detail/diodes-incorporated/ZXRE330ASA-7/4794794?s=N4IgTCBcDaIFoA0BKBRAzGgDAQQMrYFoB2EAXQF8g</t>
  </si>
  <si>
    <t>U5,U8</t>
  </si>
  <si>
    <t>NCP4305DMTTWG</t>
  </si>
  <si>
    <t>https://www.digikey.com/en/products/detail/onsemi/NCP4305DMTTWG/7220811?s=N4IgTCBcDaIHIGEAKAWAzABgKwBECyAKgQOoDiIAugL5A</t>
  </si>
  <si>
    <t>U6,U10,U14</t>
  </si>
  <si>
    <t>LM2904BIDDFR</t>
  </si>
  <si>
    <t>https://www.digikey.com/en/products/detail/texas-instruments/LM2904BIDDFR/15222319?s=N4IgTCBcDaIDIFkwE4AMAWAQgSQCK4DEAlEAXQF8g</t>
  </si>
  <si>
    <t>Heatsink for Q8 and Q9</t>
  </si>
  <si>
    <t>6mmx6mmx3mm</t>
  </si>
  <si>
    <t>https://www.amazon.com/MECCANIXITY-Heatsink-6x6x5mm-Adhesive-Chipset/dp/B0B7F461N2?crid=YM2K80KGF0C6&amp;dib=eyJ2IjoiMSJ9.85VUhZukaDmskawPQ1DMRBnUvI1FKQ6-4ZVG92rzJuUU14BAqYoRgUVtlFIRTRQEXtgZaNVw1yrUuk7sXhX-RryQ_iT_M0veIrpnsgL2UtEeDgm7-mNOs0vbmea1LB8zMPJCzea8fLNiooMPIxRBxGAG9MkTKQ6KvcVUMYrbxoIMDuCo6vgZkM2Dh80OZLmcr-qFdCbkG1TMZz7fUd6dtIPLysiQZF3e-XNHpuSer9Y.SEVh4GTu9g_oLxybvdDUiFIzpeN6UaQxVE4DiCLfpiw&amp;dib_tag=se&amp;keywords=5mm%2Bx%2B5mm%2Bheat%2Bsink&amp;qid=1761769917&amp;sprefix=5mm%2Bx%2B5mm%2Bheat%2Bsink%2Caps%2C208&amp;sr=8-1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</si>
</sst>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rgb="FF000000"/>
      <name val="Arial"/>
    </font>
    <font>
      <sz val="10"/>
      <color rgb="FFFFFFFF"/>
      <name val="Arial"/>
    </font>
    <font>
      <sz val="12"/>
      <color rgb="FF333333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1"/>
    <xf numFmtId="8" fontId="0" fillId="0" borderId="0" xfId="0" applyNumberFormat="1"/>
    <xf numFmtId="0" fontId="1" fillId="5" borderId="0" xfId="0" applyFont="1" applyFill="1"/>
    <xf numFmtId="0" fontId="1" fillId="6" borderId="0" xfId="0" applyFont="1" applyFill="1"/>
    <xf numFmtId="0" fontId="6" fillId="7" borderId="0" xfId="0" applyFont="1" applyFill="1"/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2" borderId="0" xfId="0" applyNumberFormat="1" applyFont="1" applyFill="1"/>
    <xf numFmtId="49" fontId="1" fillId="0" borderId="0" xfId="0" applyNumberFormat="1" applyFont="1" applyAlignment="1">
      <alignment wrapText="1"/>
    </xf>
    <xf numFmtId="49" fontId="5" fillId="5" borderId="0" xfId="0" applyNumberFormat="1" applyFont="1" applyFill="1"/>
    <xf numFmtId="49" fontId="1" fillId="5" borderId="0" xfId="0" applyNumberFormat="1" applyFont="1" applyFill="1"/>
    <xf numFmtId="49" fontId="0" fillId="0" borderId="0" xfId="0" applyNumberFormat="1"/>
    <xf numFmtId="0" fontId="1" fillId="8" borderId="0" xfId="0" applyFont="1" applyFill="1"/>
    <xf numFmtId="0" fontId="4" fillId="4" borderId="0" xfId="1" applyFill="1"/>
    <xf numFmtId="0" fontId="1" fillId="0" borderId="0" xfId="0" applyFont="1" applyAlignment="1">
      <alignment wrapText="1"/>
    </xf>
    <xf numFmtId="0" fontId="1" fillId="9" borderId="0" xfId="0" applyFont="1" applyFill="1"/>
    <xf numFmtId="0" fontId="1" fillId="10" borderId="0" xfId="0" applyFont="1" applyFill="1"/>
    <xf numFmtId="0" fontId="7" fillId="1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littelfuse-inc/01220083Z/2498890?s=N4IgTCBcDaIAwEYxjnAHAZgFogLoF8g" TargetMode="External"/><Relationship Id="rId21" Type="http://schemas.openxmlformats.org/officeDocument/2006/relationships/hyperlink" Target="https://www.digikey.com/en/products/detail/diodes-incorporated/1N4448WQ-7-F/5176053?s=N4IgTCBcDaIIwDkAsKAcB1AigWgOzYDEQBdAXyA" TargetMode="External"/><Relationship Id="rId42" Type="http://schemas.openxmlformats.org/officeDocument/2006/relationships/hyperlink" Target="https://www.digikey.com/en/products/detail/yageo/AC0603FR-07240KL/5895936?s=N4IgTCBcDaIIIGEAMA2JBmAYgJQLRIHYwAWJAaQBkQBdAXyA" TargetMode="External"/><Relationship Id="rId47" Type="http://schemas.openxmlformats.org/officeDocument/2006/relationships/hyperlink" Target="https://www.digikey.com/en/products/detail/bourns-inc/CHV1206-JW-106ELF/5175979?s=N4IgTCBcDaIMIAkBqBGMAGAbAWgFIHVsUsBRAGQDEQBdAXyA" TargetMode="External"/><Relationship Id="rId63" Type="http://schemas.openxmlformats.org/officeDocument/2006/relationships/hyperlink" Target="https://www.digikey.com/en/products/detail/rohm-semiconductor/ESR03EZPJ103/1762722?s=N4IgTCBcDaIKIGUBKAGAzHAWgBQFIEZ0QBdAXyA" TargetMode="External"/><Relationship Id="rId68" Type="http://schemas.openxmlformats.org/officeDocument/2006/relationships/hyperlink" Target="https://www.digikey.com/en/products/detail/bourns-inc/PVG3A203C01R00/666277?s=N4IgTCBcDaIAoDUDiBmAgmADCgwpgjAEqaYgC6AvkA" TargetMode="External"/><Relationship Id="rId84" Type="http://schemas.openxmlformats.org/officeDocument/2006/relationships/hyperlink" Target="https://www.digikey.com/en/products/detail/texas-instruments/LM2904BIDDFR/15222319?s=N4IgTCBcDaIDIFkwE4AMAWAQgSQCK4DEAlEAXQF8g" TargetMode="External"/><Relationship Id="rId89" Type="http://schemas.openxmlformats.org/officeDocument/2006/relationships/hyperlink" Target="https://www.mouser.com/ProductDetail/TAIYO-YUDEN/MSAST32MAB5476MPNDT1?qs=tlsG%2FOw5FFjVcfO8xtWwSA%3D%3D&amp;srsltid=AfmBOooFBKPDf0gEVtrNuIHR_xuWBmSz77v_xyzSqTpt9MOE-zgGd6QG" TargetMode="External"/><Relationship Id="rId16" Type="http://schemas.openxmlformats.org/officeDocument/2006/relationships/hyperlink" Target="https://www.mouser.com/ProductDetail/Walsin/SH31B102K631CT?qs=ZrPdAQfJ6DPRDGJZHcu%252BNw%3D%3D" TargetMode="External"/><Relationship Id="rId11" Type="http://schemas.openxmlformats.org/officeDocument/2006/relationships/hyperlink" Target="https://www.digikey.com/en/products/detail/samsung-electro-mechanics/CL10B105KB9VPJC/20498526" TargetMode="External"/><Relationship Id="rId32" Type="http://schemas.openxmlformats.org/officeDocument/2006/relationships/hyperlink" Target="https://www.mouser.com/ProductDetail/Molex/42375-2486?qs=ZGcr3cVYdJDHJgFjWDdRLQ%3D%3D" TargetMode="External"/><Relationship Id="rId37" Type="http://schemas.openxmlformats.org/officeDocument/2006/relationships/hyperlink" Target="https://www.digikey.com/en/products/detail/vishay-siliconix/SIHP24N80AE-GE3/11573521?s=N4IgTCBcDaIMoEkASAFMAWAcgDgAwEEBRAWgHFCBmEAXQF8g" TargetMode="External"/><Relationship Id="rId53" Type="http://schemas.openxmlformats.org/officeDocument/2006/relationships/hyperlink" Target="https://www.digikey.com/en/products/detail/bourns-inc/CHV2512-JW-107ELF/5175993?s=N4IgTCBcDaIMIAkBqYCsBGMBaAUgdS3QAYB2AUQBkAxEAXQF8g" TargetMode="External"/><Relationship Id="rId58" Type="http://schemas.openxmlformats.org/officeDocument/2006/relationships/hyperlink" Target="https://www.digikey.com/en/products/detail/rohm-semiconductor/ESR03EZPJ104/4051180?s=N4IgTCBcDaIKIGUBKAGAzHAWgBQFIEYUAWEAXQF8g" TargetMode="External"/><Relationship Id="rId74" Type="http://schemas.openxmlformats.org/officeDocument/2006/relationships/hyperlink" Target="https://www.digikey.com/en/products/detail/vishay-dale/TFPT0603L1001DV/1869740?s=N4IgTCBcDaICoDEAKcAMA2VBmAMgRlVTwBEA1EAXQF8g" TargetMode="External"/><Relationship Id="rId79" Type="http://schemas.openxmlformats.org/officeDocument/2006/relationships/hyperlink" Target="https://www.mouser.com/ProductDetail/Broadcom-Avago/ACPL-217-560E?qs=dcm2zoLQumAV2Tz247VNgA%3D%3D&amp;srsltid=AfmBOootfC4dmJcvylDWVs_GW2_dewU8Rcrjy5Av1Gz7un63m-5D1lmt" TargetMode="External"/><Relationship Id="rId5" Type="http://schemas.openxmlformats.org/officeDocument/2006/relationships/hyperlink" Target="https://www.digikey.com/en/products/detail/w%C3%BCrth-elektronik/885342208005/9345922?s=N4IgTCBcDaIBxwKwGYAsYwAY6c4kAugL5A" TargetMode="External"/><Relationship Id="rId90" Type="http://schemas.openxmlformats.org/officeDocument/2006/relationships/hyperlink" Target="https://www.digikey.com/en/products/detail/eaton-electronics-division/CB61F30A-TR1/13618602" TargetMode="External"/><Relationship Id="rId14" Type="http://schemas.openxmlformats.org/officeDocument/2006/relationships/hyperlink" Target="https://www.digikey.com/en/products/detail/kemet/C1210C562JDGACAUTO/16889526?s=N4IgTCBcDaIMIEYwIAxwKwDYwCkAiA4gIJxECqAKgPIgC6AvkA" TargetMode="External"/><Relationship Id="rId22" Type="http://schemas.openxmlformats.org/officeDocument/2006/relationships/hyperlink" Target="https://www.digikey.com/en/products/detail/bourns-inc/CDSOD323-T12/3781956" TargetMode="External"/><Relationship Id="rId27" Type="http://schemas.openxmlformats.org/officeDocument/2006/relationships/hyperlink" Target="https://www.digikey.com/en/products/detail/te-connectivity-amp-connectors/282828-2/1150131" TargetMode="External"/><Relationship Id="rId30" Type="http://schemas.openxmlformats.org/officeDocument/2006/relationships/hyperlink" Target="https://www.digikey.com/en/products/detail/molex/0436500215/283461?s=N4IgTCBcDaICwGYBsBWADAWjWAjCkAugL5A" TargetMode="External"/><Relationship Id="rId35" Type="http://schemas.openxmlformats.org/officeDocument/2006/relationships/hyperlink" Target="https://www.mouser.com/ProductDetail/Wurth-Elektronik/7443091080?qs=d0WKAl%252BL4Kbr2mCzOvoWHA%3D%3D" TargetMode="External"/><Relationship Id="rId43" Type="http://schemas.openxmlformats.org/officeDocument/2006/relationships/hyperlink" Target="https://www.digikey.com/en/products/detail/yageo/AC0603JR-07330KL/5896434?s=N4IgTCBcDaIIIGEAMA2JBmAUgJQLRIHZ10kBpAGRAF0BfIA" TargetMode="External"/><Relationship Id="rId48" Type="http://schemas.openxmlformats.org/officeDocument/2006/relationships/hyperlink" Target="https://www.digikey.com/en/products/detail/yageo/RC0603JR-0782KL/726835?s=N4IgTCBcDaIEoGEAMA2JBmAUnAtEg7ABxgDSAMiALoC%2BQA" TargetMode="External"/><Relationship Id="rId56" Type="http://schemas.openxmlformats.org/officeDocument/2006/relationships/hyperlink" Target="https://www.digikey.com/en/products/detail/vishay-dale/CRCW0603470KJNEAHP/2222827" TargetMode="External"/><Relationship Id="rId64" Type="http://schemas.openxmlformats.org/officeDocument/2006/relationships/hyperlink" Target="https://www.digikey.com/en/products/detail/yageo/RC1206FR-7W10RL/12698915?s=N4IgTCBcDaIEoGECMYAMA2AYnAtAdgHUlU4AZEAXQF8g" TargetMode="External"/><Relationship Id="rId69" Type="http://schemas.openxmlformats.org/officeDocument/2006/relationships/hyperlink" Target="https://www.digikey.com/en/products/detail/bourns-inc/PVG5A103C03R00/666288?s=N4IgTCBcDaIAoDUDiBWAggRgAwGYDCuASlliALoC%2BQA" TargetMode="External"/><Relationship Id="rId77" Type="http://schemas.openxmlformats.org/officeDocument/2006/relationships/hyperlink" Target="https://www.digikey.com/en/products/detail/monolithic-power-systems-inc/MP4541GN-Z/15861774?s=N4IgTCBcDaILIAUAsBWJBGA4gOQLQC0QBdAXyA" TargetMode="External"/><Relationship Id="rId8" Type="http://schemas.openxmlformats.org/officeDocument/2006/relationships/hyperlink" Target="https://www.digikey.com/en/products/detail/taiyo-yuden/HMJ107BB7104KAHT/5880029?s=N4IgTCBcDaIBIFkBSBGADAdgEJY%2BgLANICCcAKiALoC%2BQA" TargetMode="External"/><Relationship Id="rId51" Type="http://schemas.openxmlformats.org/officeDocument/2006/relationships/hyperlink" Target="https://www.digikey.com/en/products/detail/yageo/AC0603FR-071M6L/5895885?s=N4IgTCBcDaIIIGEAMA2JBmAYgJQLRIHYBGAWRQBkQBdAXyA" TargetMode="External"/><Relationship Id="rId72" Type="http://schemas.openxmlformats.org/officeDocument/2006/relationships/hyperlink" Target="https://www.mouser.com/ProductDetail/EPCOS-TDK/B66363G1000X127?qs=wDNl1cNI0GtCaGtNmNbDKg%3D%3D" TargetMode="External"/><Relationship Id="rId80" Type="http://schemas.openxmlformats.org/officeDocument/2006/relationships/hyperlink" Target="https://www.mouser.com/ProductDetail/Texas-Instruments/UCC21520DW?qs=zEmsApcVOkX3g4f0E3%252BNKw%3D%3D&amp;srsltid=AfmBOopSgqbwsB7Jn4FNY8VYoTB15hvX6Oq6325oGk0OVRcbHBybyDlv" TargetMode="External"/><Relationship Id="rId85" Type="http://schemas.openxmlformats.org/officeDocument/2006/relationships/hyperlink" Target="https://www.digikey.com/en/products/detail/vishay/MCT06030C1802FP500/2607835" TargetMode="External"/><Relationship Id="rId3" Type="http://schemas.openxmlformats.org/officeDocument/2006/relationships/hyperlink" Target="https://www.digikey.com/en/products/detail/vishay-beyschlag-draloric-bc-components/VY1332M59Y5UQ63V0/1983416?s=N4IgTCBcDaIGoE0CMBmFYCyBWAnArAqgIoBsKcADCALoC%2BQA" TargetMode="External"/><Relationship Id="rId12" Type="http://schemas.openxmlformats.org/officeDocument/2006/relationships/hyperlink" Target="https://www.digikey.com/en/products/detail/kemet/C0603C223K1RACTU/754738" TargetMode="External"/><Relationship Id="rId17" Type="http://schemas.openxmlformats.org/officeDocument/2006/relationships/hyperlink" Target="https://www.digikey.com/en/products/detail/samsung-electro-mechanics/CL21A226MAYNNNE/10479857?s=N4IgTCBcDaIMIBkwEYCCYwDYCyqCaAckQKIgC6AvkA" TargetMode="External"/><Relationship Id="rId25" Type="http://schemas.openxmlformats.org/officeDocument/2006/relationships/hyperlink" Target="https://www.digikey.com/en/products/detail/littelfuse-inc/0154-500DR/183350" TargetMode="External"/><Relationship Id="rId33" Type="http://schemas.openxmlformats.org/officeDocument/2006/relationships/hyperlink" Target="https://www.mouser.com/ProductDetail/Molex/35044-9102?qs=ZlMU7IUseCu3dWv7JcWPgw%3D%3D" TargetMode="External"/><Relationship Id="rId38" Type="http://schemas.openxmlformats.org/officeDocument/2006/relationships/hyperlink" Target="https://www.digikey.com/en/products/detail/nexperia-usa-inc/PMV20ENR/5395792" TargetMode="External"/><Relationship Id="rId46" Type="http://schemas.openxmlformats.org/officeDocument/2006/relationships/hyperlink" Target="https://www.digikey.com/en/products/detail/bourns-inc/CR1206-FX-20R0ELF/2562853?s=N4IgTCBcDaIMICUCMYAMA2AtAMQBqbQVQFEAZbEAXQF8g" TargetMode="External"/><Relationship Id="rId59" Type="http://schemas.openxmlformats.org/officeDocument/2006/relationships/hyperlink" Target="https://www.digikey.com/en/products/detail/yageo/AC0603FR-0733KL/5896041?s=N4IgTCBcDaIIIGEAMA2JBmAYgJQLRIHZ10BpAGRAF0BfIA" TargetMode="External"/><Relationship Id="rId67" Type="http://schemas.openxmlformats.org/officeDocument/2006/relationships/hyperlink" Target="https://www.digikey.com/en/products/detail/rohm-semiconductor/ESR03EZPJ222/1762726?s=N4IgTCBcDaIKIGUBKAGAzHAWgBQFJgJAF0BfIA" TargetMode="External"/><Relationship Id="rId20" Type="http://schemas.openxmlformats.org/officeDocument/2006/relationships/hyperlink" Target="https://www.digikey.com/en/products/detail/vishay-general-semiconductor-diodes-division/VS-E7FX0212-M3-I/22145760?s=N4IgTCBcDaIAQDUDKBaAogdgGIA0AMYAjGCgLIDMA9AJIgC6AvkA" TargetMode="External"/><Relationship Id="rId41" Type="http://schemas.openxmlformats.org/officeDocument/2006/relationships/hyperlink" Target="https://www.digikey.com/en/products/detail/panasonic-electronic-components/ERJ-P08J470V/525395?s=N4IgTCBcDaIKICUBSBaACgBgBxICwHYMA1EAXQF8g" TargetMode="External"/><Relationship Id="rId54" Type="http://schemas.openxmlformats.org/officeDocument/2006/relationships/hyperlink" Target="https://www.digikey.com/en/products/detail/yageo/RC1206JR-7W100RL/12698867?s=N4IgTCBcDaIEoGECMYAMA2AUnAtAdgHUlVU4AZEAXQF8g" TargetMode="External"/><Relationship Id="rId62" Type="http://schemas.openxmlformats.org/officeDocument/2006/relationships/hyperlink" Target="https://www.digikey.com/en/products/detail/rohm-semiconductor/ESR03EZPJ102/1762721?s=N4IgTCBcDaIKIGUBKAGAzHAWgBQFIEYUIBdAXyA" TargetMode="External"/><Relationship Id="rId70" Type="http://schemas.openxmlformats.org/officeDocument/2006/relationships/hyperlink" Target="https://www.digikey.com/en/products/detail/epcos-tdk-electronics/B66363G0000X197/3914821?s=N4IgTCBcDaIEIDYEGYUHEAMWMA0CMAnAOwgC6AvkA" TargetMode="External"/><Relationship Id="rId75" Type="http://schemas.openxmlformats.org/officeDocument/2006/relationships/hyperlink" Target="https://www.digikey.com/en/products/detail/traco-power/TBA-1-1212HI/9698317?s=N4IgTCBcDaICoCECCACAjAWjWbAJAkiALoC%2BQA" TargetMode="External"/><Relationship Id="rId83" Type="http://schemas.openxmlformats.org/officeDocument/2006/relationships/hyperlink" Target="https://www.digikey.com/en/products/detail/onsemi/NCP4305DMTTWG/7220811?s=N4IgTCBcDaIHIGEAKAWAzABgKwBECyAKgQOoDiIAugL5A" TargetMode="External"/><Relationship Id="rId88" Type="http://schemas.openxmlformats.org/officeDocument/2006/relationships/hyperlink" Target="https://www.mouser.com/ProductDetail/Texas-Instruments/TL431BCDBZR?qs=odmYgEirbwwErD0j5e5Iiw%3D%3D&amp;srsltid=AfmBOopq-txSL-Gr8RfUx2M_AImUW0OIzwfHF1MQHLEIZtqk0m-HEqr0" TargetMode="External"/><Relationship Id="rId91" Type="http://schemas.openxmlformats.org/officeDocument/2006/relationships/hyperlink" Target="https://www.mouser.com/ProductDetail/Richtek/RT9058-90GVL?qs=amGC7iS6iy%2FmB38%252BYpIKLg%3D%3D" TargetMode="External"/><Relationship Id="rId1" Type="http://schemas.openxmlformats.org/officeDocument/2006/relationships/hyperlink" Target="https://www.mouser.com/ProductDetail/Vishay-Roederstein/MKP1848520704K2?qs=i2mp%2Fn9EmlIrcjrkAqMz2A%3D%3D" TargetMode="External"/><Relationship Id="rId6" Type="http://schemas.openxmlformats.org/officeDocument/2006/relationships/hyperlink" Target="https://www.digikey.com/en/products/detail/taiyo-yuden/UMK107ABJ474KA-T/3194980?s=N4IgTCBcDaIKoFkDSBGADAdgIICEBSALBgUlgLQAqIAugL5A" TargetMode="External"/><Relationship Id="rId15" Type="http://schemas.openxmlformats.org/officeDocument/2006/relationships/hyperlink" Target="https://www.digikey.com/en/products/detail/taiyo-yuden/TMK212BBJ106KG-T/2714163?s=N4IgTCBcDaICoFkDSYCMYBCGBSqAMAbEgOIC0cIAugL5A" TargetMode="External"/><Relationship Id="rId23" Type="http://schemas.openxmlformats.org/officeDocument/2006/relationships/hyperlink" Target="https://www.digikey.com/en/products/detail/vishay-general-semiconductor-diodes-division/SS1H10-M3-61T/4874528?s=N4IgTCBcDaIMpwIwAlEAYC0BZAzAegDZEAVEAXQF8g" TargetMode="External"/><Relationship Id="rId28" Type="http://schemas.openxmlformats.org/officeDocument/2006/relationships/hyperlink" Target="https://www.mouser.com/ProductDetail/TE-Connectivity/284051-2?qs=OYEvAappxlxBiuwfKz%2FgFA%3D%3D" TargetMode="External"/><Relationship Id="rId36" Type="http://schemas.openxmlformats.org/officeDocument/2006/relationships/hyperlink" Target="https://www.digikey.com/en/products/detail/abracon-llc/ASPI-4030S-100M-T/4215200?s=N4IgTCBcDaIIIGUAKBJAtAFgAwGYsLQEYssBZNAFRAF0BfIA" TargetMode="External"/><Relationship Id="rId49" Type="http://schemas.openxmlformats.org/officeDocument/2006/relationships/hyperlink" Target="https://www.digikey.com/en/products/detail/bourns-inc/CR0603-FX-8203ELF/3784187?s=N4IgTCBcDaIMICUAMA2JBmAtAMQBqYA4wMBRAGWxAF0BfIA" TargetMode="External"/><Relationship Id="rId57" Type="http://schemas.openxmlformats.org/officeDocument/2006/relationships/hyperlink" Target="https://www.digikey.com/en/products/detail/panasonic-electronic-components/ERJ-P06J334V/525259?s=N4IgTCBcDaIKICUBSBaACgBgGxIMy4BYA1EAXQF8g" TargetMode="External"/><Relationship Id="rId10" Type="http://schemas.openxmlformats.org/officeDocument/2006/relationships/hyperlink" Target="https://www.digikey.com/en/products/detail/w%C3%BCrth-elektronik/885342206003/9345996?s=N4IgTCBcDaIBxwKwGYAsYwAYBsnPJAF0BfIA" TargetMode="External"/><Relationship Id="rId31" Type="http://schemas.openxmlformats.org/officeDocument/2006/relationships/hyperlink" Target="https://www.digikey.com/en/products/detail/molex/0436450200/268974?s=N4IgTCBcDaICwGYBscCsBaADGTmQF0BfIA" TargetMode="External"/><Relationship Id="rId44" Type="http://schemas.openxmlformats.org/officeDocument/2006/relationships/hyperlink" Target="https://www.digikey.com/en/products/detail/yageo/RC0603FR-0747KL/727253?s=N4IgTCBcDaIEoGEAMA2JBmAYnAtEg7ACz4DSAMiALoC%2BQA" TargetMode="External"/><Relationship Id="rId52" Type="http://schemas.openxmlformats.org/officeDocument/2006/relationships/hyperlink" Target="https://www.digikey.com/en/products/detail/rohm-semiconductor/ESR03EZPJ104/4051180?s=N4IgTCBcDaIKIGUBKAGAzHAWgBQFIEYUAWEAXQF8g" TargetMode="External"/><Relationship Id="rId60" Type="http://schemas.openxmlformats.org/officeDocument/2006/relationships/hyperlink" Target="https://www.digikey.com/en/products/detail/vishay-dale/CRCW06034K70FKEC/5072685" TargetMode="External"/><Relationship Id="rId65" Type="http://schemas.openxmlformats.org/officeDocument/2006/relationships/hyperlink" Target="https://www.digikey.com/en/products/detail/vishay-dale/CRCW0603100MJPEAHR/3232293?s=N4IgTCBcDaIMICU4HUAMA2VBmAjK1AsgFIAKAogIIASCIAugL5A" TargetMode="External"/><Relationship Id="rId73" Type="http://schemas.openxmlformats.org/officeDocument/2006/relationships/hyperlink" Target="https://www.digikey.com/en/products/detail/vishay-dale/TFPTL15L3901FL2B/3074235?s=N4IgTCBcDaICoDEAKcAyBGArKgzATgAZ0FUwAhEAXQF8g" TargetMode="External"/><Relationship Id="rId78" Type="http://schemas.openxmlformats.org/officeDocument/2006/relationships/hyperlink" Target="https://www.digikey.com/en/products/detail/texas-instruments/TLV61048DBVR/10715594?s=N4IgTCBcDaICoBkBqA2AjABgCwA4AiAQkgEogC6AvkA" TargetMode="External"/><Relationship Id="rId81" Type="http://schemas.openxmlformats.org/officeDocument/2006/relationships/hyperlink" Target="https://www.digikey.com/en/products/detail/texas-instruments/UCC25600DR/2048154" TargetMode="External"/><Relationship Id="rId86" Type="http://schemas.openxmlformats.org/officeDocument/2006/relationships/hyperlink" Target="https://www.mouser.com/ProductDetail/IXYS/IXYP8N90C3?qs=INK05T%2FwFA2y8W%252BDqn9C%252BA%3D%3D" TargetMode="External"/><Relationship Id="rId4" Type="http://schemas.openxmlformats.org/officeDocument/2006/relationships/hyperlink" Target="https://www.digikey.com/en/products/detail/kemet/C0603C470J1HACTU/7946650?s=N4IgTCBcDaIMIAYBsCDMcAsB2BApAjABICCcAKgKogC6AvkA" TargetMode="External"/><Relationship Id="rId9" Type="http://schemas.openxmlformats.org/officeDocument/2006/relationships/hyperlink" Target="https://www.mouser.com/ProductDetail/Samsung-Electro-Mechanics/CL21B225KBYNNWE?qs=81r%252BiQLm7BSQ0niHgk%2FU1g%3D%3D&amp;srsltid=AfmBOopKWWCUGHqtdEmDIQjM5mrJYaJRGKmhQYi7OZAmAtCNfBEum3td" TargetMode="External"/><Relationship Id="rId13" Type="http://schemas.openxmlformats.org/officeDocument/2006/relationships/hyperlink" Target="https://www.digikey.com/en/products/detail/kemet/C0603C103K2RECTU/6825425?s=N4IgTCBcDaIMIAYBsCDMcCMaDSYBKAonACoCqIAugL5A" TargetMode="External"/><Relationship Id="rId18" Type="http://schemas.openxmlformats.org/officeDocument/2006/relationships/hyperlink" Target="https://www.digikey.com/en/products/detail/cornell-dubilier-knowles/VMF256M3R8/13665381?s=N4IgTCBcDaIGoFkBiYCsA2BBmASgDhAF0BfIA" TargetMode="External"/><Relationship Id="rId39" Type="http://schemas.openxmlformats.org/officeDocument/2006/relationships/hyperlink" Target="https://www.digikey.com/en/products/detail/infineon-technologies/IMBG65R050M2HXTMA1/22157833?s=N4IgTCBcDaIJIFkBCBxAbAVgEoAYM4TAAkANAFQQEEBGEAXQF8g" TargetMode="External"/><Relationship Id="rId34" Type="http://schemas.openxmlformats.org/officeDocument/2006/relationships/hyperlink" Target="https://www.digikey.com/en/products/detail/abracon-llc/ASPI-4030S-4R7M-T/4215208?s=N4IgTCBcDaIIIGUAKBJAtAFgAwGYsMwCUB2AWTQBUQBdAXyA" TargetMode="External"/><Relationship Id="rId50" Type="http://schemas.openxmlformats.org/officeDocument/2006/relationships/hyperlink" Target="https://www.digikey.com/en/products/detail/bourns-inc/CR0603-JW-514ELF/3784396?s=N4IgTCBcDaIMICUAMA2JBmAtAKQOqYFYBGAFgFEAZAMRAF0BfIA" TargetMode="External"/><Relationship Id="rId55" Type="http://schemas.openxmlformats.org/officeDocument/2006/relationships/hyperlink" Target="https://www.digikey.com/en/products/detail/bourns-inc/CR0603-JW-273ELF/3784345?s=N4IgTCBcDaIMICUAMA2JBmAtAKQOqbAHZ0BRAGQDEQBdAXyA" TargetMode="External"/><Relationship Id="rId76" Type="http://schemas.openxmlformats.org/officeDocument/2006/relationships/hyperlink" Target="https://www.mouser.com/ProductDetail/Richtek/RT9058-90GVL?qs=amGC7iS6iy%2FmB38%252BYpIKLg%3D%3D&amp;srsltid=AfmBOoogkun1HYbmM2PrjzMi_0iZdmmFXs5-GDWZMgXTgHTHWRwULSKQ" TargetMode="External"/><Relationship Id="rId7" Type="http://schemas.openxmlformats.org/officeDocument/2006/relationships/hyperlink" Target="https://www.digikey.com/en/products/detail/nichicon/UHW1V222MHD/3664337" TargetMode="External"/><Relationship Id="rId71" Type="http://schemas.openxmlformats.org/officeDocument/2006/relationships/hyperlink" Target="https://www.digikey.com/en/products/detail/epcos-tdk-electronics/B66363G0000X197/3914821?s=N4IgTCBcDaIEIDYEGYUHEAMWMA0CMAnAOwgC6AvkA" TargetMode="External"/><Relationship Id="rId92" Type="http://schemas.openxmlformats.org/officeDocument/2006/relationships/hyperlink" Target="https://www.amazon.com/MECCANIXITY-Heatsink-6x6x5mm-Adhesive-Chipset/dp/B0B7F461N2?crid=YM2K80KGF0C6&amp;dib=eyJ2IjoiMSJ9.85VUhZukaDmskawPQ1DMRBnUvI1FKQ6-4ZVG92rzJuUU14BAqYoRgUVtlFIRTRQEXtgZaNVw1yrUuk7sXhX-RryQ_iT_M0veIrpnsgL2UtEeDgm7-mNOs0vbmea1LB8zMPJCzea8fLNiooMPIxRBxGAG9MkTKQ6KvcVUMYrbxoIMDuCo6vgZkM2Dh80OZLmcr-qFdCbkG1TMZz7fUd6dtIPLysiQZF3e-XNHpuSer9Y.SEVh4GTu9g_oLxybvdDUiFIzpeN6UaQxVE4DiCLfpiw&amp;dib_tag=se&amp;keywords=5mm%2Bx%2B5mm%2Bheat%2Bsink&amp;qid=1761769917&amp;sprefix=5mm%2Bx%2B5mm%2Bheat%2Bsink%2Caps%2C208&amp;sr=8-1&amp;th=1" TargetMode="External"/><Relationship Id="rId2" Type="http://schemas.openxmlformats.org/officeDocument/2006/relationships/hyperlink" Target="https://www.digikey.com/en/products/detail/kemet/R76UI22205050J/13687133?s=N4IgTCBcDaIEoHYBsBVAkmTAGArLrAUiALoC%2BQA" TargetMode="External"/><Relationship Id="rId29" Type="http://schemas.openxmlformats.org/officeDocument/2006/relationships/hyperlink" Target="https://www.digikey.com/en/products/detail/te-connectivity-amp-connectors/282809-2/1153255" TargetMode="External"/><Relationship Id="rId24" Type="http://schemas.openxmlformats.org/officeDocument/2006/relationships/hyperlink" Target="https://www.digikey.com/en/products/detail/bel-fuse-inc/0ADBC1600-BE/8028439?s=N4IgTCBcDaIAwEEAiAhAwgRgGxzgWhQFEACEAXQF8g" TargetMode="External"/><Relationship Id="rId40" Type="http://schemas.openxmlformats.org/officeDocument/2006/relationships/hyperlink" Target="https://www.digikey.com/en/products/detail/infineon-technologies/BSC027N06LS5ATMA1/7428067?s=N4IgTCBcDaIEIGUDCAGMB2AcigbAGQQFYBBAFQFliBGEAXQF8g" TargetMode="External"/><Relationship Id="rId45" Type="http://schemas.openxmlformats.org/officeDocument/2006/relationships/hyperlink" Target="https://www.digikey.com/en/products/detail/vishay-dale/CRCW0603510RFKEAC/9461231" TargetMode="External"/><Relationship Id="rId66" Type="http://schemas.openxmlformats.org/officeDocument/2006/relationships/hyperlink" Target="https://www.digikey.com/en/products/detail/panasonic-electronic-components/ERJ-PA3J100V/5035968?s=N4IgTCBcDaIKICUBSBaACgQQMxIIwAZ8A1EAXQF8g" TargetMode="External"/><Relationship Id="rId87" Type="http://schemas.openxmlformats.org/officeDocument/2006/relationships/hyperlink" Target="https://www.mouser.com/ProductDetail/Inolux/IN-S63AT5G?qs=fAHHVMwC%252Bbiw6WrSEma0zA%3D%3D" TargetMode="External"/><Relationship Id="rId61" Type="http://schemas.openxmlformats.org/officeDocument/2006/relationships/hyperlink" Target="https://www.digikey.com/en/products/detail/panasonic-electronic-components/ERJ-P08J4R7V/9813211?s=N4IgTCBcDaIKICUBSBaACgBgBxICwIHYA1EAXQF8g" TargetMode="External"/><Relationship Id="rId82" Type="http://schemas.openxmlformats.org/officeDocument/2006/relationships/hyperlink" Target="https://www.digikey.com/en/products/detail/diodes-incorporated/ZXRE330ASA-7/4794794?s=N4IgTCBcDaIFoA0BKBRAzGgDAQQMrYFoB2EAXQF8g" TargetMode="External"/><Relationship Id="rId19" Type="http://schemas.openxmlformats.org/officeDocument/2006/relationships/hyperlink" Target="https://www.digikey.com/en/products/detail/kingbright/APTD1608LSECK-J4-PF/5177447?s=N4IgTCBcDaIIIAUAqARAjANgAwA4AyAygKIDCA0gPQBSALALQIBiIAugL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101"/>
  <sheetViews>
    <sheetView tabSelected="1" topLeftCell="A77" workbookViewId="0">
      <selection activeCell="A24" sqref="A24"/>
    </sheetView>
  </sheetViews>
  <sheetFormatPr defaultColWidth="12.5703125" defaultRowHeight="15.75" customHeight="1"/>
  <cols>
    <col min="1" max="1" width="66.28515625" customWidth="1"/>
    <col min="2" max="2" width="36.5703125" bestFit="1" customWidth="1"/>
    <col min="3" max="3" width="36.5703125" style="19" bestFit="1" customWidth="1"/>
    <col min="6" max="6" width="156.7109375" customWidth="1"/>
    <col min="22" max="22" width="15.42578125" bestFit="1" customWidth="1"/>
  </cols>
  <sheetData>
    <row r="1" spans="1:22">
      <c r="A1" s="1" t="s">
        <v>0</v>
      </c>
      <c r="B1" s="1" t="s">
        <v>1</v>
      </c>
      <c r="C1" s="13" t="s">
        <v>2</v>
      </c>
      <c r="D1" s="1"/>
      <c r="E1" s="1"/>
      <c r="F1" s="1" t="s">
        <v>3</v>
      </c>
      <c r="T1" t="s">
        <v>4</v>
      </c>
      <c r="U1" t="s">
        <v>5</v>
      </c>
      <c r="V1" t="s">
        <v>6</v>
      </c>
    </row>
    <row r="2" spans="1:22" ht="12.75">
      <c r="A2" s="1" t="s">
        <v>7</v>
      </c>
      <c r="B2" s="1" t="s">
        <v>8</v>
      </c>
      <c r="C2" s="13" t="s">
        <v>9</v>
      </c>
      <c r="D2" s="1"/>
      <c r="E2" s="11" t="s">
        <v>10</v>
      </c>
      <c r="F2" s="8" t="s">
        <v>11</v>
      </c>
      <c r="T2" s="9">
        <v>3.92</v>
      </c>
      <c r="U2">
        <v>1</v>
      </c>
      <c r="V2">
        <f>SUM(T:T)</f>
        <v>141.76999999999992</v>
      </c>
    </row>
    <row r="3" spans="1:22">
      <c r="A3" s="1" t="s">
        <v>12</v>
      </c>
      <c r="B3" s="1" t="s">
        <v>13</v>
      </c>
      <c r="C3" s="13" t="s">
        <v>14</v>
      </c>
      <c r="D3" s="1"/>
      <c r="E3" s="1"/>
      <c r="F3" s="2" t="s">
        <v>15</v>
      </c>
      <c r="T3" s="9">
        <v>0.88</v>
      </c>
      <c r="U3">
        <v>1</v>
      </c>
    </row>
    <row r="4" spans="1:22">
      <c r="A4" s="1" t="s">
        <v>16</v>
      </c>
      <c r="B4" s="1" t="s">
        <v>17</v>
      </c>
      <c r="C4" s="13" t="s">
        <v>18</v>
      </c>
      <c r="D4" s="1"/>
      <c r="E4" s="1"/>
      <c r="F4" s="2" t="s">
        <v>19</v>
      </c>
      <c r="T4" s="9">
        <v>0.74</v>
      </c>
      <c r="U4">
        <v>1</v>
      </c>
    </row>
    <row r="5" spans="1:22">
      <c r="A5" s="23" t="s">
        <v>20</v>
      </c>
      <c r="B5" s="1" t="s">
        <v>21</v>
      </c>
      <c r="C5" s="13" t="s">
        <v>22</v>
      </c>
      <c r="D5" s="1"/>
      <c r="E5" s="1"/>
      <c r="F5" s="2" t="s">
        <v>23</v>
      </c>
      <c r="T5" s="9">
        <v>0.1</v>
      </c>
      <c r="U5">
        <v>1</v>
      </c>
    </row>
    <row r="6" spans="1:22">
      <c r="A6" s="23" t="s">
        <v>24</v>
      </c>
      <c r="B6" s="1" t="s">
        <v>25</v>
      </c>
      <c r="C6" s="14" t="s">
        <v>26</v>
      </c>
      <c r="D6" s="1"/>
      <c r="E6" s="1"/>
      <c r="F6" s="2" t="s">
        <v>27</v>
      </c>
      <c r="T6" s="9">
        <v>0.21</v>
      </c>
      <c r="U6">
        <v>1</v>
      </c>
    </row>
    <row r="7" spans="1:22">
      <c r="A7" s="23" t="s">
        <v>28</v>
      </c>
      <c r="B7" s="1" t="s">
        <v>29</v>
      </c>
      <c r="C7" s="13" t="s">
        <v>30</v>
      </c>
      <c r="D7" s="1"/>
      <c r="E7" s="1"/>
      <c r="F7" s="2" t="s">
        <v>31</v>
      </c>
      <c r="T7" s="9">
        <v>0.13</v>
      </c>
      <c r="U7">
        <v>1</v>
      </c>
    </row>
    <row r="8" spans="1:22" ht="12.75">
      <c r="A8" s="1" t="s">
        <v>32</v>
      </c>
      <c r="B8" s="1" t="s">
        <v>33</v>
      </c>
      <c r="C8" s="13" t="s">
        <v>34</v>
      </c>
      <c r="D8" s="1"/>
      <c r="E8" s="1"/>
      <c r="F8" s="8" t="s">
        <v>35</v>
      </c>
      <c r="T8" s="9">
        <v>2.4300000000000002</v>
      </c>
      <c r="U8">
        <v>1</v>
      </c>
    </row>
    <row r="9" spans="1:22">
      <c r="A9" s="23" t="s">
        <v>36</v>
      </c>
      <c r="B9" s="1" t="s">
        <v>37</v>
      </c>
      <c r="C9" s="13" t="s">
        <v>38</v>
      </c>
      <c r="D9" s="1"/>
      <c r="E9" s="1"/>
      <c r="F9" s="2" t="s">
        <v>39</v>
      </c>
      <c r="T9" s="9">
        <f>2*0.27</f>
        <v>0.54</v>
      </c>
      <c r="U9">
        <v>2</v>
      </c>
    </row>
    <row r="10" spans="1:22" ht="12.75">
      <c r="A10" s="23" t="s">
        <v>40</v>
      </c>
      <c r="B10" s="1" t="s">
        <v>41</v>
      </c>
      <c r="C10" s="13" t="s">
        <v>42</v>
      </c>
      <c r="D10" s="1"/>
      <c r="E10" s="11" t="s">
        <v>10</v>
      </c>
      <c r="F10" s="8" t="s">
        <v>43</v>
      </c>
      <c r="T10" s="9">
        <v>0.23</v>
      </c>
      <c r="U10">
        <v>1</v>
      </c>
    </row>
    <row r="11" spans="1:22">
      <c r="A11" s="23" t="s">
        <v>44</v>
      </c>
      <c r="B11" s="1" t="s">
        <v>45</v>
      </c>
      <c r="C11" s="14" t="s">
        <v>46</v>
      </c>
      <c r="D11" s="1"/>
      <c r="E11" s="1"/>
      <c r="F11" s="2" t="s">
        <v>47</v>
      </c>
      <c r="T11" s="9">
        <f>8*0.1</f>
        <v>0.8</v>
      </c>
      <c r="U11">
        <v>8</v>
      </c>
    </row>
    <row r="12" spans="1:22">
      <c r="A12" s="23" t="s">
        <v>48</v>
      </c>
      <c r="B12" s="1" t="s">
        <v>49</v>
      </c>
      <c r="C12" s="15" t="s">
        <v>50</v>
      </c>
      <c r="D12" s="4"/>
      <c r="E12" s="5" t="s">
        <v>51</v>
      </c>
      <c r="F12" s="2" t="s">
        <v>52</v>
      </c>
      <c r="T12" s="9">
        <f>0.36*4</f>
        <v>1.44</v>
      </c>
      <c r="U12">
        <v>4</v>
      </c>
    </row>
    <row r="13" spans="1:22" ht="15">
      <c r="A13" s="24" t="s">
        <v>53</v>
      </c>
      <c r="B13" s="24" t="s">
        <v>54</v>
      </c>
      <c r="C13" s="25" t="s">
        <v>55</v>
      </c>
      <c r="D13" s="11" t="s">
        <v>10</v>
      </c>
      <c r="E13" s="20" t="s">
        <v>56</v>
      </c>
      <c r="F13" s="8" t="s">
        <v>57</v>
      </c>
      <c r="T13" s="9">
        <f>0.98*4</f>
        <v>3.92</v>
      </c>
      <c r="U13">
        <v>4</v>
      </c>
    </row>
    <row r="14" spans="1:22">
      <c r="A14" s="23" t="s">
        <v>58</v>
      </c>
      <c r="B14" s="1" t="s">
        <v>13</v>
      </c>
      <c r="C14" s="13" t="s">
        <v>59</v>
      </c>
      <c r="D14" s="1"/>
      <c r="E14" s="1"/>
      <c r="F14" s="2" t="s">
        <v>60</v>
      </c>
      <c r="T14" s="9">
        <f>3*0.1</f>
        <v>0.30000000000000004</v>
      </c>
      <c r="U14">
        <v>3</v>
      </c>
    </row>
    <row r="15" spans="1:22" ht="12.75">
      <c r="A15" s="23" t="s">
        <v>61</v>
      </c>
      <c r="B15" s="1" t="s">
        <v>62</v>
      </c>
      <c r="C15" s="16" t="s">
        <v>63</v>
      </c>
      <c r="D15" s="1"/>
      <c r="E15" s="1"/>
      <c r="F15" s="2" t="s">
        <v>64</v>
      </c>
      <c r="T15" s="9">
        <f>3*0.15</f>
        <v>0.44999999999999996</v>
      </c>
      <c r="U15">
        <v>3</v>
      </c>
    </row>
    <row r="16" spans="1:22">
      <c r="A16" s="1" t="s">
        <v>65</v>
      </c>
      <c r="B16" s="1" t="s">
        <v>66</v>
      </c>
      <c r="C16" s="13" t="s">
        <v>67</v>
      </c>
      <c r="D16" s="1"/>
      <c r="E16" s="1"/>
      <c r="F16" s="2" t="s">
        <v>68</v>
      </c>
      <c r="T16" s="9">
        <f>4*1.93</f>
        <v>7.72</v>
      </c>
      <c r="U16">
        <v>4</v>
      </c>
    </row>
    <row r="17" spans="1:21">
      <c r="A17" s="23" t="s">
        <v>69</v>
      </c>
      <c r="B17" s="1" t="s">
        <v>70</v>
      </c>
      <c r="C17" s="13" t="s">
        <v>71</v>
      </c>
      <c r="D17" s="1"/>
      <c r="E17" s="1"/>
      <c r="F17" s="2" t="s">
        <v>72</v>
      </c>
      <c r="T17" s="9">
        <f>3*0.16</f>
        <v>0.48</v>
      </c>
      <c r="U17">
        <v>3</v>
      </c>
    </row>
    <row r="18" spans="1:21" ht="12.75">
      <c r="A18" s="23" t="s">
        <v>73</v>
      </c>
      <c r="B18" s="1" t="s">
        <v>74</v>
      </c>
      <c r="C18" s="17" t="s">
        <v>75</v>
      </c>
      <c r="D18" s="10"/>
      <c r="E18" s="11" t="s">
        <v>10</v>
      </c>
      <c r="F18" s="8" t="s">
        <v>76</v>
      </c>
      <c r="T18" s="9">
        <f>2*0.11</f>
        <v>0.22</v>
      </c>
      <c r="U18">
        <v>2</v>
      </c>
    </row>
    <row r="19" spans="1:21">
      <c r="A19" s="23" t="s">
        <v>77</v>
      </c>
      <c r="B19" s="1" t="s">
        <v>78</v>
      </c>
      <c r="C19" s="13" t="s">
        <v>79</v>
      </c>
      <c r="D19" s="1"/>
      <c r="E19" s="1"/>
      <c r="F19" s="2" t="s">
        <v>80</v>
      </c>
      <c r="T19" s="9">
        <f>6*0.24</f>
        <v>1.44</v>
      </c>
      <c r="U19">
        <v>6</v>
      </c>
    </row>
    <row r="20" spans="1:21">
      <c r="A20" s="1" t="s">
        <v>81</v>
      </c>
      <c r="B20" s="1" t="s">
        <v>82</v>
      </c>
      <c r="C20" s="13" t="s">
        <v>83</v>
      </c>
      <c r="D20" s="1"/>
      <c r="E20" s="1"/>
      <c r="F20" s="2" t="s">
        <v>84</v>
      </c>
      <c r="T20" s="9">
        <v>5.33</v>
      </c>
      <c r="U20">
        <v>1</v>
      </c>
    </row>
    <row r="21" spans="1:21">
      <c r="A21" s="1" t="s">
        <v>85</v>
      </c>
      <c r="B21" s="1" t="s">
        <v>86</v>
      </c>
      <c r="C21" s="13" t="s">
        <v>87</v>
      </c>
      <c r="D21" s="1"/>
      <c r="E21" s="1"/>
      <c r="F21" s="2" t="s">
        <v>88</v>
      </c>
      <c r="T21" s="9">
        <v>0.59</v>
      </c>
      <c r="U21">
        <v>1</v>
      </c>
    </row>
    <row r="22" spans="1:21">
      <c r="A22" s="1" t="s">
        <v>89</v>
      </c>
      <c r="B22" s="1" t="s">
        <v>90</v>
      </c>
      <c r="C22" s="13" t="s">
        <v>91</v>
      </c>
      <c r="D22" s="1"/>
      <c r="E22" s="1"/>
      <c r="F22" s="2" t="s">
        <v>92</v>
      </c>
      <c r="T22" s="9">
        <f>3*0.44</f>
        <v>1.32</v>
      </c>
      <c r="U22">
        <v>3</v>
      </c>
    </row>
    <row r="23" spans="1:21">
      <c r="A23" s="23" t="s">
        <v>93</v>
      </c>
      <c r="B23" s="1" t="s">
        <v>94</v>
      </c>
      <c r="C23" s="13" t="s">
        <v>95</v>
      </c>
      <c r="D23" s="1"/>
      <c r="E23" s="1"/>
      <c r="F23" s="2" t="s">
        <v>96</v>
      </c>
      <c r="T23" s="9">
        <f>4*0.1</f>
        <v>0.4</v>
      </c>
      <c r="U23">
        <v>4</v>
      </c>
    </row>
    <row r="24" spans="1:21" ht="12.75">
      <c r="A24" s="1" t="s">
        <v>97</v>
      </c>
      <c r="B24" s="1" t="s">
        <v>98</v>
      </c>
      <c r="C24" s="13" t="s">
        <v>99</v>
      </c>
      <c r="D24" s="1"/>
      <c r="E24" s="11" t="s">
        <v>10</v>
      </c>
      <c r="F24" s="8" t="s">
        <v>100</v>
      </c>
      <c r="T24" s="9">
        <f>5*0.25</f>
        <v>1.25</v>
      </c>
      <c r="U24">
        <v>5</v>
      </c>
    </row>
    <row r="25" spans="1:21">
      <c r="A25" s="23" t="s">
        <v>101</v>
      </c>
      <c r="B25" s="1" t="s">
        <v>102</v>
      </c>
      <c r="C25" s="13" t="s">
        <v>102</v>
      </c>
      <c r="D25" s="1"/>
      <c r="E25" s="1"/>
      <c r="F25" s="2" t="s">
        <v>103</v>
      </c>
      <c r="T25" s="9">
        <f>3*0.61</f>
        <v>1.83</v>
      </c>
      <c r="U25">
        <v>3</v>
      </c>
    </row>
    <row r="26" spans="1:21">
      <c r="A26" s="23" t="s">
        <v>104</v>
      </c>
      <c r="B26" s="1" t="s">
        <v>105</v>
      </c>
      <c r="C26" s="13" t="s">
        <v>106</v>
      </c>
      <c r="D26" s="1"/>
      <c r="E26" s="1"/>
      <c r="F26" s="2" t="s">
        <v>107</v>
      </c>
      <c r="T26" s="9">
        <f>2*0.32</f>
        <v>0.64</v>
      </c>
      <c r="U26">
        <v>2</v>
      </c>
    </row>
    <row r="27" spans="1:21">
      <c r="A27" s="1" t="s">
        <v>108</v>
      </c>
      <c r="B27" s="1" t="s">
        <v>109</v>
      </c>
      <c r="C27" s="13" t="s">
        <v>110</v>
      </c>
      <c r="D27" s="1"/>
      <c r="E27" s="1"/>
      <c r="F27" s="2" t="s">
        <v>111</v>
      </c>
      <c r="T27" s="9">
        <v>5.87</v>
      </c>
      <c r="U27">
        <v>1</v>
      </c>
    </row>
    <row r="28" spans="1:21">
      <c r="A28" s="1" t="s">
        <v>112</v>
      </c>
      <c r="B28" s="1" t="s">
        <v>113</v>
      </c>
      <c r="C28" s="13" t="s">
        <v>114</v>
      </c>
      <c r="D28" s="1"/>
      <c r="E28" s="1"/>
      <c r="F28" s="2" t="s">
        <v>115</v>
      </c>
      <c r="T28" s="9">
        <v>3.87</v>
      </c>
      <c r="U28">
        <v>1</v>
      </c>
    </row>
    <row r="29" spans="1:21" ht="12.75">
      <c r="A29" s="1" t="s">
        <v>116</v>
      </c>
      <c r="B29" s="1" t="s">
        <v>117</v>
      </c>
      <c r="C29" s="16" t="s">
        <v>118</v>
      </c>
      <c r="D29" s="1"/>
      <c r="E29" s="20" t="s">
        <v>56</v>
      </c>
      <c r="F29" s="8" t="s">
        <v>119</v>
      </c>
      <c r="T29" s="9">
        <v>0.56000000000000005</v>
      </c>
      <c r="U29">
        <v>1</v>
      </c>
    </row>
    <row r="30" spans="1:21">
      <c r="A30" s="1" t="s">
        <v>120</v>
      </c>
      <c r="B30" s="1" t="s">
        <v>121</v>
      </c>
      <c r="C30" s="13" t="s">
        <v>122</v>
      </c>
      <c r="D30" s="1"/>
      <c r="E30" s="1"/>
      <c r="F30" s="2" t="s">
        <v>123</v>
      </c>
      <c r="T30" s="9">
        <f>2*0.86</f>
        <v>1.72</v>
      </c>
      <c r="U30">
        <v>2</v>
      </c>
    </row>
    <row r="31" spans="1:21">
      <c r="A31" s="1" t="s">
        <v>124</v>
      </c>
      <c r="B31" s="1" t="s">
        <v>125</v>
      </c>
      <c r="C31" s="13" t="s">
        <v>126</v>
      </c>
      <c r="D31" s="1"/>
      <c r="E31" s="1"/>
      <c r="F31" s="2" t="s">
        <v>127</v>
      </c>
      <c r="T31" s="9">
        <v>2.37</v>
      </c>
      <c r="U31">
        <v>1</v>
      </c>
    </row>
    <row r="32" spans="1:21" ht="12.75">
      <c r="A32" s="1" t="s">
        <v>128</v>
      </c>
      <c r="B32" s="1" t="s">
        <v>125</v>
      </c>
      <c r="C32" s="18" t="s">
        <v>129</v>
      </c>
      <c r="D32" s="1"/>
      <c r="E32" s="11" t="s">
        <v>10</v>
      </c>
      <c r="F32" s="8" t="s">
        <v>130</v>
      </c>
      <c r="T32" s="9">
        <v>1.45</v>
      </c>
      <c r="U32">
        <v>1</v>
      </c>
    </row>
    <row r="33" spans="1:21">
      <c r="A33" s="1" t="s">
        <v>131</v>
      </c>
      <c r="B33" s="1" t="s">
        <v>125</v>
      </c>
      <c r="C33" s="13" t="s">
        <v>132</v>
      </c>
      <c r="D33" s="1"/>
      <c r="E33" s="1"/>
      <c r="F33" s="2" t="s">
        <v>133</v>
      </c>
      <c r="T33" s="9">
        <v>2.69</v>
      </c>
      <c r="U33">
        <v>1</v>
      </c>
    </row>
    <row r="34" spans="1:21">
      <c r="A34" s="1" t="s">
        <v>134</v>
      </c>
      <c r="B34" s="1" t="s">
        <v>135</v>
      </c>
      <c r="C34" s="13" t="s">
        <v>136</v>
      </c>
      <c r="D34" s="1"/>
      <c r="E34" s="1"/>
      <c r="F34" s="2" t="s">
        <v>137</v>
      </c>
      <c r="T34" s="9">
        <v>0.89</v>
      </c>
      <c r="U34">
        <v>1</v>
      </c>
    </row>
    <row r="35" spans="1:21" ht="12.75">
      <c r="A35" s="1" t="s">
        <v>134</v>
      </c>
      <c r="B35" s="1" t="s">
        <v>135</v>
      </c>
      <c r="C35" s="13" t="s">
        <v>138</v>
      </c>
      <c r="D35" s="1"/>
      <c r="E35" s="1"/>
      <c r="F35" s="8" t="s">
        <v>139</v>
      </c>
      <c r="T35" s="9">
        <v>0.31</v>
      </c>
      <c r="U35">
        <v>1</v>
      </c>
    </row>
    <row r="36" spans="1:21">
      <c r="A36" s="1" t="s">
        <v>140</v>
      </c>
      <c r="B36" s="1" t="s">
        <v>141</v>
      </c>
      <c r="C36" s="15" t="s">
        <v>121</v>
      </c>
      <c r="D36" s="1"/>
      <c r="E36" s="1"/>
      <c r="F36" s="1"/>
    </row>
    <row r="37" spans="1:21">
      <c r="A37" s="1" t="s">
        <v>142</v>
      </c>
      <c r="B37" s="1" t="s">
        <v>143</v>
      </c>
      <c r="C37" s="15" t="s">
        <v>121</v>
      </c>
      <c r="D37" s="1"/>
      <c r="E37" s="1"/>
      <c r="F37" s="1"/>
    </row>
    <row r="38" spans="1:21" ht="12.75">
      <c r="A38" s="1" t="s">
        <v>144</v>
      </c>
      <c r="B38" s="1" t="s">
        <v>145</v>
      </c>
      <c r="C38" s="18" t="s">
        <v>146</v>
      </c>
      <c r="D38" s="1"/>
      <c r="E38" s="11" t="s">
        <v>10</v>
      </c>
      <c r="F38" s="8" t="s">
        <v>147</v>
      </c>
      <c r="T38" s="9">
        <f>5*0.1</f>
        <v>0.5</v>
      </c>
      <c r="U38">
        <v>5</v>
      </c>
    </row>
    <row r="39" spans="1:21" ht="12.75">
      <c r="A39" s="1" t="s">
        <v>148</v>
      </c>
      <c r="B39" s="1" t="s">
        <v>149</v>
      </c>
      <c r="C39" s="18" t="s">
        <v>150</v>
      </c>
      <c r="D39" s="1"/>
      <c r="E39" s="11" t="s">
        <v>10</v>
      </c>
      <c r="F39" s="8" t="s">
        <v>151</v>
      </c>
      <c r="T39" s="9">
        <f>2*0.1</f>
        <v>0.2</v>
      </c>
      <c r="U39">
        <v>2</v>
      </c>
    </row>
    <row r="40" spans="1:21">
      <c r="A40" s="1" t="s">
        <v>152</v>
      </c>
      <c r="B40" s="1" t="s">
        <v>153</v>
      </c>
      <c r="C40" s="15" t="s">
        <v>121</v>
      </c>
      <c r="D40" s="1"/>
      <c r="E40" s="1"/>
      <c r="F40" s="1"/>
    </row>
    <row r="41" spans="1:21">
      <c r="A41" s="1" t="s">
        <v>154</v>
      </c>
      <c r="B41" s="1" t="s">
        <v>155</v>
      </c>
      <c r="C41" s="13" t="s">
        <v>156</v>
      </c>
      <c r="D41" s="1"/>
      <c r="E41" s="1"/>
      <c r="F41" s="2" t="s">
        <v>157</v>
      </c>
      <c r="T41" s="9">
        <v>0.26</v>
      </c>
      <c r="U41">
        <v>1</v>
      </c>
    </row>
    <row r="42" spans="1:21" ht="12.75">
      <c r="A42" s="1" t="s">
        <v>158</v>
      </c>
      <c r="B42" s="1" t="s">
        <v>159</v>
      </c>
      <c r="C42" s="14" t="s">
        <v>160</v>
      </c>
      <c r="D42" s="11" t="s">
        <v>10</v>
      </c>
      <c r="E42" s="20" t="s">
        <v>56</v>
      </c>
      <c r="F42" s="8" t="s">
        <v>161</v>
      </c>
      <c r="T42" s="9">
        <v>3.01</v>
      </c>
      <c r="U42">
        <v>1</v>
      </c>
    </row>
    <row r="43" spans="1:21">
      <c r="A43" s="1" t="s">
        <v>162</v>
      </c>
      <c r="B43" s="1" t="s">
        <v>163</v>
      </c>
      <c r="C43" s="13" t="s">
        <v>164</v>
      </c>
      <c r="D43" s="1"/>
      <c r="E43" s="1"/>
      <c r="F43" s="2" t="s">
        <v>165</v>
      </c>
      <c r="T43" s="9">
        <v>0.26</v>
      </c>
      <c r="U43">
        <v>1</v>
      </c>
    </row>
    <row r="44" spans="1:21">
      <c r="A44" s="1" t="s">
        <v>166</v>
      </c>
      <c r="B44" s="1" t="s">
        <v>167</v>
      </c>
      <c r="C44" s="15" t="s">
        <v>121</v>
      </c>
      <c r="D44" s="1"/>
      <c r="E44" s="1"/>
      <c r="F44" s="1"/>
    </row>
    <row r="45" spans="1:21" ht="12.75">
      <c r="A45" s="1" t="s">
        <v>168</v>
      </c>
      <c r="B45" s="1" t="s">
        <v>169</v>
      </c>
      <c r="C45" s="13" t="s">
        <v>169</v>
      </c>
      <c r="D45" s="1"/>
      <c r="E45" s="12" t="s">
        <v>170</v>
      </c>
      <c r="F45" s="2" t="s">
        <v>171</v>
      </c>
      <c r="T45" s="9"/>
    </row>
    <row r="46" spans="1:21" ht="12.75">
      <c r="A46" s="1" t="s">
        <v>172</v>
      </c>
      <c r="B46" s="1" t="s">
        <v>173</v>
      </c>
      <c r="C46" s="18" t="s">
        <v>173</v>
      </c>
      <c r="D46" s="1" t="s">
        <v>10</v>
      </c>
      <c r="E46" s="12" t="s">
        <v>170</v>
      </c>
      <c r="F46" s="8" t="s">
        <v>174</v>
      </c>
    </row>
    <row r="47" spans="1:21">
      <c r="A47" s="23" t="s">
        <v>175</v>
      </c>
      <c r="B47" s="1" t="s">
        <v>176</v>
      </c>
      <c r="C47" s="13" t="s">
        <v>176</v>
      </c>
      <c r="D47" s="1"/>
      <c r="E47" s="1"/>
      <c r="F47" s="2" t="s">
        <v>177</v>
      </c>
      <c r="T47" s="9">
        <f>5*0.48</f>
        <v>2.4</v>
      </c>
      <c r="U47">
        <v>5</v>
      </c>
    </row>
    <row r="48" spans="1:21">
      <c r="A48" s="1" t="s">
        <v>178</v>
      </c>
      <c r="B48" s="1" t="s">
        <v>179</v>
      </c>
      <c r="C48" s="13" t="s">
        <v>179</v>
      </c>
      <c r="D48" s="1"/>
      <c r="E48" s="1"/>
      <c r="F48" s="2" t="s">
        <v>180</v>
      </c>
      <c r="T48" s="9">
        <f>2*7.82</f>
        <v>15.64</v>
      </c>
      <c r="U48">
        <v>2</v>
      </c>
    </row>
    <row r="49" spans="1:21">
      <c r="A49" s="23" t="s">
        <v>181</v>
      </c>
      <c r="B49" s="1" t="s">
        <v>182</v>
      </c>
      <c r="C49" s="13" t="s">
        <v>182</v>
      </c>
      <c r="D49" s="1"/>
      <c r="E49" s="1"/>
      <c r="F49" s="2" t="s">
        <v>183</v>
      </c>
      <c r="T49" s="9">
        <f>2*2.73</f>
        <v>5.46</v>
      </c>
      <c r="U49">
        <v>2</v>
      </c>
    </row>
    <row r="50" spans="1:21" ht="12.75">
      <c r="A50" s="1" t="s">
        <v>184</v>
      </c>
      <c r="B50" s="3">
        <v>47</v>
      </c>
      <c r="C50" s="13" t="s">
        <v>185</v>
      </c>
      <c r="D50" s="1"/>
      <c r="E50" s="1"/>
      <c r="F50" s="8" t="s">
        <v>186</v>
      </c>
      <c r="T50" s="9">
        <v>0.15</v>
      </c>
      <c r="U50">
        <v>1</v>
      </c>
    </row>
    <row r="51" spans="1:21">
      <c r="A51" s="23" t="s">
        <v>187</v>
      </c>
      <c r="B51" s="1" t="s">
        <v>188</v>
      </c>
      <c r="C51" s="13" t="s">
        <v>189</v>
      </c>
      <c r="D51" s="1"/>
      <c r="E51" s="1"/>
      <c r="F51" s="2" t="s">
        <v>190</v>
      </c>
      <c r="T51" s="9">
        <v>0.1</v>
      </c>
      <c r="U51">
        <v>1</v>
      </c>
    </row>
    <row r="52" spans="1:21">
      <c r="A52" s="23" t="s">
        <v>191</v>
      </c>
      <c r="B52" s="1" t="s">
        <v>192</v>
      </c>
      <c r="C52" s="13" t="s">
        <v>193</v>
      </c>
      <c r="D52" s="1"/>
      <c r="E52" s="1"/>
      <c r="F52" s="2" t="s">
        <v>194</v>
      </c>
      <c r="T52" s="9">
        <v>0.1</v>
      </c>
      <c r="U52">
        <v>1</v>
      </c>
    </row>
    <row r="53" spans="1:21">
      <c r="A53" s="23" t="s">
        <v>195</v>
      </c>
      <c r="B53" s="1" t="s">
        <v>196</v>
      </c>
      <c r="C53" s="13" t="s">
        <v>197</v>
      </c>
      <c r="D53" s="1"/>
      <c r="E53" s="1"/>
      <c r="F53" s="2" t="s">
        <v>198</v>
      </c>
      <c r="T53" s="9">
        <v>0.1</v>
      </c>
      <c r="U53">
        <v>1</v>
      </c>
    </row>
    <row r="54" spans="1:21">
      <c r="A54" s="23" t="s">
        <v>199</v>
      </c>
      <c r="B54" s="3">
        <v>510</v>
      </c>
      <c r="C54" s="15" t="s">
        <v>200</v>
      </c>
      <c r="D54" s="4"/>
      <c r="E54" s="5" t="s">
        <v>51</v>
      </c>
      <c r="F54" s="2" t="s">
        <v>201</v>
      </c>
      <c r="T54" s="9">
        <v>0.1</v>
      </c>
      <c r="U54">
        <v>1</v>
      </c>
    </row>
    <row r="55" spans="1:21">
      <c r="A55" s="23" t="s">
        <v>202</v>
      </c>
      <c r="B55" s="3">
        <v>20</v>
      </c>
      <c r="C55" s="13" t="s">
        <v>203</v>
      </c>
      <c r="D55" s="1"/>
      <c r="E55" s="1"/>
      <c r="F55" s="2" t="s">
        <v>204</v>
      </c>
      <c r="T55" s="9">
        <v>0.1</v>
      </c>
      <c r="U55">
        <v>1</v>
      </c>
    </row>
    <row r="56" spans="1:21">
      <c r="A56" s="23" t="s">
        <v>205</v>
      </c>
      <c r="B56" s="1" t="s">
        <v>206</v>
      </c>
      <c r="C56" s="13" t="s">
        <v>207</v>
      </c>
      <c r="D56" s="1"/>
      <c r="E56" s="1"/>
      <c r="F56" s="2" t="s">
        <v>208</v>
      </c>
      <c r="T56" s="9">
        <v>0.2</v>
      </c>
      <c r="U56">
        <v>1</v>
      </c>
    </row>
    <row r="57" spans="1:21">
      <c r="A57" s="23" t="s">
        <v>209</v>
      </c>
      <c r="B57" s="1" t="s">
        <v>210</v>
      </c>
      <c r="C57" s="13" t="s">
        <v>211</v>
      </c>
      <c r="D57" s="1"/>
      <c r="E57" s="1"/>
      <c r="F57" s="2" t="s">
        <v>212</v>
      </c>
      <c r="T57" s="9">
        <v>0.1</v>
      </c>
      <c r="U57">
        <v>1</v>
      </c>
    </row>
    <row r="58" spans="1:21">
      <c r="A58" s="23" t="s">
        <v>213</v>
      </c>
      <c r="B58" s="1" t="s">
        <v>214</v>
      </c>
      <c r="C58" s="13" t="s">
        <v>215</v>
      </c>
      <c r="D58" s="1"/>
      <c r="E58" s="1"/>
      <c r="F58" s="2" t="s">
        <v>216</v>
      </c>
      <c r="T58" s="9">
        <v>0.1</v>
      </c>
      <c r="U58">
        <v>1</v>
      </c>
    </row>
    <row r="59" spans="1:21">
      <c r="A59" s="23" t="s">
        <v>217</v>
      </c>
      <c r="B59" s="1" t="s">
        <v>218</v>
      </c>
      <c r="C59" s="13" t="s">
        <v>219</v>
      </c>
      <c r="D59" s="1"/>
      <c r="E59" s="1"/>
      <c r="F59" s="2" t="s">
        <v>220</v>
      </c>
      <c r="T59" s="9">
        <v>0.1</v>
      </c>
      <c r="U59">
        <v>1</v>
      </c>
    </row>
    <row r="60" spans="1:21">
      <c r="A60" s="23" t="s">
        <v>221</v>
      </c>
      <c r="B60" s="1" t="s">
        <v>222</v>
      </c>
      <c r="C60" s="13" t="s">
        <v>223</v>
      </c>
      <c r="D60" s="1"/>
      <c r="E60" s="1"/>
      <c r="F60" s="2" t="s">
        <v>224</v>
      </c>
      <c r="T60" s="9">
        <v>0.1</v>
      </c>
      <c r="U60">
        <v>1</v>
      </c>
    </row>
    <row r="61" spans="1:21">
      <c r="A61" s="1" t="s">
        <v>225</v>
      </c>
      <c r="B61" s="1" t="s">
        <v>226</v>
      </c>
      <c r="C61" s="13" t="s">
        <v>227</v>
      </c>
      <c r="D61" s="1"/>
      <c r="E61" s="1"/>
      <c r="F61" s="2" t="s">
        <v>228</v>
      </c>
      <c r="T61" s="9">
        <v>0.14000000000000001</v>
      </c>
      <c r="U61">
        <v>1</v>
      </c>
    </row>
    <row r="62" spans="1:21">
      <c r="A62" s="23" t="s">
        <v>229</v>
      </c>
      <c r="B62" s="1" t="s">
        <v>230</v>
      </c>
      <c r="C62" s="13" t="s">
        <v>231</v>
      </c>
      <c r="D62" s="1"/>
      <c r="E62" s="1"/>
      <c r="F62" s="2" t="s">
        <v>232</v>
      </c>
      <c r="T62" s="9">
        <f>2*0.48</f>
        <v>0.96</v>
      </c>
      <c r="U62">
        <v>2</v>
      </c>
    </row>
    <row r="63" spans="1:21">
      <c r="A63" s="23" t="s">
        <v>233</v>
      </c>
      <c r="B63" s="3">
        <v>100</v>
      </c>
      <c r="C63" s="13" t="s">
        <v>234</v>
      </c>
      <c r="D63" s="1"/>
      <c r="E63" s="1"/>
      <c r="F63" s="2" t="s">
        <v>235</v>
      </c>
      <c r="T63" s="9">
        <f>2*0.1</f>
        <v>0.2</v>
      </c>
      <c r="U63">
        <v>2</v>
      </c>
    </row>
    <row r="64" spans="1:21">
      <c r="A64" s="23" t="s">
        <v>236</v>
      </c>
      <c r="B64" s="1" t="s">
        <v>237</v>
      </c>
      <c r="C64" s="13" t="s">
        <v>238</v>
      </c>
      <c r="D64" s="1"/>
      <c r="E64" s="1"/>
      <c r="F64" s="2" t="s">
        <v>239</v>
      </c>
      <c r="T64" s="9">
        <f>2*0.1</f>
        <v>0.2</v>
      </c>
      <c r="U64">
        <v>2</v>
      </c>
    </row>
    <row r="65" spans="1:21" ht="12.75">
      <c r="A65" s="23" t="s">
        <v>240</v>
      </c>
      <c r="B65" s="1" t="s">
        <v>241</v>
      </c>
      <c r="C65" s="13" t="s">
        <v>242</v>
      </c>
      <c r="D65" s="1"/>
      <c r="E65" s="1"/>
      <c r="F65" s="8" t="s">
        <v>243</v>
      </c>
      <c r="T65" s="9">
        <v>0.1</v>
      </c>
      <c r="U65">
        <v>1</v>
      </c>
    </row>
    <row r="66" spans="1:21" ht="12.75">
      <c r="A66" s="23" t="s">
        <v>244</v>
      </c>
      <c r="B66" s="1" t="s">
        <v>245</v>
      </c>
      <c r="C66" s="15" t="s">
        <v>246</v>
      </c>
      <c r="D66" s="4"/>
      <c r="E66" s="5" t="s">
        <v>51</v>
      </c>
      <c r="F66" s="2" t="s">
        <v>247</v>
      </c>
      <c r="T66" s="9">
        <f>3*0.14</f>
        <v>0.42000000000000004</v>
      </c>
      <c r="U66">
        <v>3</v>
      </c>
    </row>
    <row r="67" spans="1:21" ht="12.75">
      <c r="A67" s="23" t="s">
        <v>248</v>
      </c>
      <c r="B67" s="1" t="s">
        <v>192</v>
      </c>
      <c r="C67" s="13" t="s">
        <v>249</v>
      </c>
      <c r="D67" s="1"/>
      <c r="E67" s="1"/>
      <c r="F67" s="2" t="s">
        <v>250</v>
      </c>
      <c r="T67" s="9">
        <f>2*0.12</f>
        <v>0.24</v>
      </c>
      <c r="U67">
        <v>2</v>
      </c>
    </row>
    <row r="68" spans="1:21" ht="12.75">
      <c r="A68" s="23" t="s">
        <v>251</v>
      </c>
      <c r="B68" s="1" t="s">
        <v>226</v>
      </c>
      <c r="C68" s="13" t="s">
        <v>227</v>
      </c>
      <c r="D68" s="1"/>
      <c r="E68" s="1"/>
      <c r="F68" s="2" t="s">
        <v>228</v>
      </c>
      <c r="T68" s="9">
        <f>6*0.14</f>
        <v>0.84000000000000008</v>
      </c>
      <c r="U68">
        <v>6</v>
      </c>
    </row>
    <row r="69" spans="1:21" ht="12.75">
      <c r="A69" s="23" t="s">
        <v>252</v>
      </c>
      <c r="B69" s="1" t="s">
        <v>253</v>
      </c>
      <c r="C69" s="13" t="s">
        <v>254</v>
      </c>
      <c r="D69" s="1"/>
      <c r="E69" s="1"/>
      <c r="F69" s="2" t="s">
        <v>255</v>
      </c>
      <c r="T69" s="9">
        <f>3*0.1</f>
        <v>0.30000000000000004</v>
      </c>
      <c r="U69">
        <v>3</v>
      </c>
    </row>
    <row r="70" spans="1:21" ht="12.75">
      <c r="A70" s="23" t="s">
        <v>256</v>
      </c>
      <c r="B70" s="1" t="s">
        <v>257</v>
      </c>
      <c r="C70" s="13" t="s">
        <v>258</v>
      </c>
      <c r="D70" s="1"/>
      <c r="E70" s="1"/>
      <c r="F70" s="2" t="s">
        <v>259</v>
      </c>
      <c r="T70" s="9">
        <f>2*0.1</f>
        <v>0.2</v>
      </c>
      <c r="U70">
        <v>2</v>
      </c>
    </row>
    <row r="71" spans="1:21" ht="12.75">
      <c r="A71" s="23" t="s">
        <v>260</v>
      </c>
      <c r="B71" s="3">
        <v>4.7</v>
      </c>
      <c r="C71" s="13" t="s">
        <v>261</v>
      </c>
      <c r="D71" s="1"/>
      <c r="E71" s="1"/>
      <c r="F71" s="2" t="s">
        <v>262</v>
      </c>
      <c r="T71" s="9">
        <f>2*0.15</f>
        <v>0.3</v>
      </c>
      <c r="U71">
        <v>2</v>
      </c>
    </row>
    <row r="72" spans="1:21" ht="12.75">
      <c r="A72" s="1" t="s">
        <v>263</v>
      </c>
      <c r="B72" s="1" t="s">
        <v>264</v>
      </c>
      <c r="C72" s="13" t="s">
        <v>265</v>
      </c>
      <c r="D72" s="1"/>
      <c r="E72" s="1"/>
      <c r="F72" s="2" t="s">
        <v>266</v>
      </c>
      <c r="T72" s="9">
        <f>4*0.14</f>
        <v>0.56000000000000005</v>
      </c>
      <c r="U72">
        <v>4</v>
      </c>
    </row>
    <row r="73" spans="1:21" ht="12.75">
      <c r="A73" s="23" t="s">
        <v>267</v>
      </c>
      <c r="B73" s="1" t="s">
        <v>268</v>
      </c>
      <c r="C73" s="13" t="s">
        <v>269</v>
      </c>
      <c r="D73" s="1"/>
      <c r="E73" s="1"/>
      <c r="F73" s="2" t="s">
        <v>270</v>
      </c>
      <c r="T73" s="9">
        <f>17*0.14</f>
        <v>2.3800000000000003</v>
      </c>
      <c r="U73">
        <v>17</v>
      </c>
    </row>
    <row r="74" spans="1:21" ht="12.75">
      <c r="A74" s="1" t="s">
        <v>271</v>
      </c>
      <c r="B74" s="3">
        <v>10</v>
      </c>
      <c r="C74" s="13" t="s">
        <v>272</v>
      </c>
      <c r="D74" s="1"/>
      <c r="E74" s="1"/>
      <c r="F74" s="2" t="s">
        <v>273</v>
      </c>
      <c r="T74" s="9">
        <f>2*0.11</f>
        <v>0.22</v>
      </c>
      <c r="U74">
        <v>2</v>
      </c>
    </row>
    <row r="75" spans="1:21" ht="12.75">
      <c r="A75" s="23" t="s">
        <v>274</v>
      </c>
      <c r="B75" s="1" t="s">
        <v>230</v>
      </c>
      <c r="C75" s="13" t="s">
        <v>275</v>
      </c>
      <c r="D75" s="1"/>
      <c r="E75" s="1"/>
      <c r="F75" s="2" t="s">
        <v>276</v>
      </c>
      <c r="T75" s="9">
        <f>2*0.28</f>
        <v>0.56000000000000005</v>
      </c>
      <c r="U75">
        <v>2</v>
      </c>
    </row>
    <row r="76" spans="1:21" ht="12.75">
      <c r="A76" s="23" t="s">
        <v>277</v>
      </c>
      <c r="B76" s="3">
        <v>10</v>
      </c>
      <c r="C76" s="13" t="s">
        <v>278</v>
      </c>
      <c r="D76" s="1"/>
      <c r="E76" s="1"/>
      <c r="F76" s="2" t="s">
        <v>279</v>
      </c>
      <c r="T76" s="9">
        <f>2*0.12</f>
        <v>0.24</v>
      </c>
      <c r="U76">
        <v>2</v>
      </c>
    </row>
    <row r="77" spans="1:21" ht="12.75">
      <c r="A77" s="23" t="s">
        <v>280</v>
      </c>
      <c r="B77" s="1" t="s">
        <v>281</v>
      </c>
      <c r="C77" s="13" t="s">
        <v>282</v>
      </c>
      <c r="D77" s="1"/>
      <c r="E77" s="1"/>
      <c r="F77" s="2" t="s">
        <v>283</v>
      </c>
      <c r="T77" s="9">
        <f>7*0.14</f>
        <v>0.98000000000000009</v>
      </c>
      <c r="U77">
        <v>7</v>
      </c>
    </row>
    <row r="78" spans="1:21" ht="12.75">
      <c r="A78" s="1" t="s">
        <v>284</v>
      </c>
      <c r="B78" s="1" t="s">
        <v>285</v>
      </c>
      <c r="C78" s="13" t="s">
        <v>286</v>
      </c>
      <c r="D78" s="1"/>
      <c r="E78" s="1"/>
      <c r="F78" s="2" t="s">
        <v>287</v>
      </c>
      <c r="T78" s="9">
        <v>1.23</v>
      </c>
      <c r="U78">
        <v>1</v>
      </c>
    </row>
    <row r="79" spans="1:21" ht="12.75">
      <c r="A79" s="1" t="s">
        <v>288</v>
      </c>
      <c r="B79" s="1" t="s">
        <v>268</v>
      </c>
      <c r="C79" s="13" t="s">
        <v>289</v>
      </c>
      <c r="D79" s="1"/>
      <c r="E79" s="1"/>
      <c r="F79" s="2" t="s">
        <v>290</v>
      </c>
      <c r="T79" s="9">
        <v>2.44</v>
      </c>
      <c r="U79">
        <v>1</v>
      </c>
    </row>
    <row r="80" spans="1:21" ht="12.75">
      <c r="A80" s="1" t="s">
        <v>291</v>
      </c>
      <c r="B80" s="1" t="s">
        <v>292</v>
      </c>
      <c r="C80" s="13" t="s">
        <v>293</v>
      </c>
      <c r="D80" s="1"/>
      <c r="E80" s="1"/>
      <c r="F80" s="2" t="s">
        <v>294</v>
      </c>
      <c r="T80" s="9">
        <v>3.47</v>
      </c>
      <c r="U80">
        <v>1</v>
      </c>
    </row>
    <row r="81" spans="1:21" ht="12.75">
      <c r="A81" s="1" t="s">
        <v>295</v>
      </c>
      <c r="B81" s="1" t="s">
        <v>296</v>
      </c>
      <c r="C81" s="13" t="s">
        <v>293</v>
      </c>
      <c r="D81" s="1"/>
      <c r="E81" s="1"/>
      <c r="F81" s="2" t="s">
        <v>294</v>
      </c>
      <c r="T81" s="9">
        <v>3.47</v>
      </c>
      <c r="U81">
        <v>1</v>
      </c>
    </row>
    <row r="82" spans="1:21" ht="12.75">
      <c r="A82" s="1" t="s">
        <v>297</v>
      </c>
      <c r="B82" s="1" t="s">
        <v>298</v>
      </c>
      <c r="C82" s="15" t="s">
        <v>299</v>
      </c>
      <c r="D82" s="4"/>
      <c r="E82" s="11" t="s">
        <v>10</v>
      </c>
      <c r="F82" s="8" t="s">
        <v>300</v>
      </c>
      <c r="T82" s="9">
        <v>3.26</v>
      </c>
      <c r="U82">
        <v>1</v>
      </c>
    </row>
    <row r="83" spans="1:21" ht="12.75">
      <c r="A83" s="1" t="s">
        <v>301</v>
      </c>
      <c r="B83" s="1" t="s">
        <v>302</v>
      </c>
      <c r="C83" s="13" t="s">
        <v>303</v>
      </c>
      <c r="D83" s="1"/>
      <c r="E83" s="1"/>
      <c r="F83" s="1"/>
    </row>
    <row r="84" spans="1:21" ht="23.25">
      <c r="A84" s="1" t="s">
        <v>304</v>
      </c>
      <c r="B84" s="22" t="s">
        <v>305</v>
      </c>
      <c r="C84" s="13" t="s">
        <v>303</v>
      </c>
      <c r="D84" s="1"/>
      <c r="E84" s="1"/>
      <c r="F84" s="1"/>
    </row>
    <row r="85" spans="1:21" ht="12.75">
      <c r="A85" s="1" t="s">
        <v>306</v>
      </c>
      <c r="B85" s="1" t="s">
        <v>307</v>
      </c>
      <c r="C85" s="13" t="s">
        <v>308</v>
      </c>
      <c r="D85" s="1"/>
      <c r="E85" s="1"/>
      <c r="F85" s="2" t="s">
        <v>309</v>
      </c>
      <c r="T85" s="9">
        <v>1.1000000000000001</v>
      </c>
      <c r="U85">
        <v>1</v>
      </c>
    </row>
    <row r="86" spans="1:21" ht="12.75">
      <c r="A86" s="1" t="s">
        <v>310</v>
      </c>
      <c r="B86" s="1" t="s">
        <v>311</v>
      </c>
      <c r="C86" s="13" t="s">
        <v>312</v>
      </c>
      <c r="D86" s="1"/>
      <c r="E86" s="1"/>
      <c r="F86" s="2" t="s">
        <v>313</v>
      </c>
      <c r="T86" s="9">
        <v>0.79</v>
      </c>
      <c r="U86">
        <v>1</v>
      </c>
    </row>
    <row r="87" spans="1:21" ht="12.75">
      <c r="A87" s="1" t="s">
        <v>314</v>
      </c>
      <c r="B87" s="1" t="s">
        <v>315</v>
      </c>
      <c r="C87" s="13" t="s">
        <v>315</v>
      </c>
      <c r="D87" s="1"/>
      <c r="E87" s="1"/>
      <c r="F87" s="8" t="s">
        <v>316</v>
      </c>
      <c r="T87" s="9">
        <v>3.42</v>
      </c>
      <c r="U87">
        <v>1</v>
      </c>
    </row>
    <row r="88" spans="1:21" ht="12.75">
      <c r="A88" s="1" t="s">
        <v>317</v>
      </c>
      <c r="B88" s="1" t="s">
        <v>318</v>
      </c>
      <c r="C88" s="15" t="s">
        <v>318</v>
      </c>
      <c r="D88" s="11" t="s">
        <v>10</v>
      </c>
      <c r="E88" s="6" t="s">
        <v>319</v>
      </c>
      <c r="F88" s="21" t="s">
        <v>320</v>
      </c>
      <c r="G88" s="7" t="s">
        <v>321</v>
      </c>
      <c r="T88" s="9">
        <v>1.36</v>
      </c>
      <c r="U88">
        <v>1</v>
      </c>
    </row>
    <row r="89" spans="1:21" ht="12.75">
      <c r="A89" s="1" t="s">
        <v>322</v>
      </c>
      <c r="B89" s="1" t="s">
        <v>323</v>
      </c>
      <c r="C89" s="13" t="s">
        <v>324</v>
      </c>
      <c r="D89" s="1"/>
      <c r="E89" s="1"/>
      <c r="F89" s="2" t="s">
        <v>325</v>
      </c>
      <c r="T89" s="9">
        <v>1.67</v>
      </c>
      <c r="U89">
        <v>1</v>
      </c>
    </row>
    <row r="90" spans="1:21" ht="12.75">
      <c r="A90" s="23" t="s">
        <v>326</v>
      </c>
      <c r="B90" s="1" t="s">
        <v>327</v>
      </c>
      <c r="C90" s="13" t="s">
        <v>327</v>
      </c>
      <c r="D90" s="1"/>
      <c r="E90" s="1"/>
      <c r="F90" s="2" t="s">
        <v>328</v>
      </c>
      <c r="T90" s="9">
        <v>0.77</v>
      </c>
      <c r="U90">
        <v>1</v>
      </c>
    </row>
    <row r="91" spans="1:21" ht="12.75">
      <c r="A91" s="23" t="s">
        <v>329</v>
      </c>
      <c r="B91" s="1" t="s">
        <v>330</v>
      </c>
      <c r="C91" s="15" t="s">
        <v>331</v>
      </c>
      <c r="D91" s="4"/>
      <c r="E91" s="11" t="s">
        <v>10</v>
      </c>
      <c r="F91" s="8" t="s">
        <v>332</v>
      </c>
      <c r="T91" s="9">
        <v>0.34</v>
      </c>
      <c r="U91">
        <v>1</v>
      </c>
    </row>
    <row r="92" spans="1:21" ht="12.75">
      <c r="A92" s="1" t="s">
        <v>333</v>
      </c>
      <c r="B92" s="1" t="s">
        <v>334</v>
      </c>
      <c r="C92" s="13" t="s">
        <v>335</v>
      </c>
      <c r="D92" s="1"/>
      <c r="E92" s="11" t="s">
        <v>10</v>
      </c>
      <c r="F92" s="8" t="s">
        <v>336</v>
      </c>
      <c r="T92" s="9">
        <v>0.72</v>
      </c>
      <c r="U92">
        <v>1</v>
      </c>
    </row>
    <row r="93" spans="1:21" ht="12.75">
      <c r="A93" s="23" t="s">
        <v>337</v>
      </c>
      <c r="B93" s="1" t="s">
        <v>338</v>
      </c>
      <c r="C93" s="15" t="s">
        <v>338</v>
      </c>
      <c r="D93" s="1"/>
      <c r="E93" s="11" t="s">
        <v>10</v>
      </c>
      <c r="F93" s="8" t="s">
        <v>339</v>
      </c>
      <c r="T93" s="9">
        <v>4.62</v>
      </c>
      <c r="U93">
        <v>1</v>
      </c>
    </row>
    <row r="94" spans="1:21" ht="12.75">
      <c r="A94" s="23" t="s">
        <v>340</v>
      </c>
      <c r="B94" s="1" t="s">
        <v>341</v>
      </c>
      <c r="C94" s="13" t="s">
        <v>342</v>
      </c>
      <c r="D94" s="1"/>
      <c r="E94" s="1"/>
      <c r="F94" s="2" t="s">
        <v>343</v>
      </c>
      <c r="T94" s="9">
        <v>1.18</v>
      </c>
      <c r="U94">
        <v>1</v>
      </c>
    </row>
    <row r="95" spans="1:21" ht="12.75">
      <c r="A95" s="1" t="s">
        <v>344</v>
      </c>
      <c r="B95" s="1" t="s">
        <v>345</v>
      </c>
      <c r="C95" s="13" t="s">
        <v>345</v>
      </c>
      <c r="D95" s="1"/>
      <c r="E95" s="1"/>
      <c r="F95" s="2" t="s">
        <v>346</v>
      </c>
      <c r="T95" s="9">
        <v>0.69</v>
      </c>
      <c r="U95">
        <v>1</v>
      </c>
    </row>
    <row r="96" spans="1:21" ht="15.75" customHeight="1">
      <c r="A96" s="1" t="s">
        <v>347</v>
      </c>
      <c r="B96" s="1" t="s">
        <v>348</v>
      </c>
      <c r="C96" s="13" t="s">
        <v>348</v>
      </c>
      <c r="D96" s="1"/>
      <c r="E96" s="1"/>
      <c r="F96" s="2" t="s">
        <v>349</v>
      </c>
      <c r="T96" s="9">
        <f>2*2.03</f>
        <v>4.0599999999999996</v>
      </c>
      <c r="U96">
        <v>2</v>
      </c>
    </row>
    <row r="97" spans="1:21" ht="15.75" customHeight="1">
      <c r="A97" s="23" t="s">
        <v>350</v>
      </c>
      <c r="B97" s="1" t="s">
        <v>351</v>
      </c>
      <c r="C97" s="13" t="s">
        <v>351</v>
      </c>
      <c r="D97" s="1"/>
      <c r="E97" s="1"/>
      <c r="F97" s="2" t="s">
        <v>352</v>
      </c>
      <c r="T97" s="9">
        <f>3*0.22</f>
        <v>0.66</v>
      </c>
      <c r="U97">
        <v>3</v>
      </c>
    </row>
    <row r="99" spans="1:21" ht="15.75" customHeight="1">
      <c r="F99" s="8"/>
      <c r="T99" s="9">
        <f>2*5.83</f>
        <v>11.66</v>
      </c>
      <c r="U99">
        <v>2</v>
      </c>
    </row>
    <row r="101" spans="1:21" ht="15.75" customHeight="1">
      <c r="A101" t="s">
        <v>353</v>
      </c>
      <c r="B101" t="s">
        <v>354</v>
      </c>
      <c r="F101" s="8" t="s">
        <v>355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4" r:id="rId12" xr:uid="{00000000-0004-0000-0000-00000C000000}"/>
    <hyperlink ref="F15" r:id="rId13" xr:uid="{00000000-0004-0000-0000-00000D000000}"/>
    <hyperlink ref="F16" r:id="rId14" xr:uid="{00000000-0004-0000-0000-00000E000000}"/>
    <hyperlink ref="F17" r:id="rId15" xr:uid="{00000000-0004-0000-0000-00000F000000}"/>
    <hyperlink ref="F18" r:id="rId16" xr:uid="{00000000-0004-0000-0000-000010000000}"/>
    <hyperlink ref="F19" r:id="rId17" xr:uid="{00000000-0004-0000-0000-000011000000}"/>
    <hyperlink ref="F20" r:id="rId18" xr:uid="{00000000-0004-0000-0000-000012000000}"/>
    <hyperlink ref="F21" r:id="rId19" xr:uid="{00000000-0004-0000-0000-000013000000}"/>
    <hyperlink ref="F22" r:id="rId20" xr:uid="{00000000-0004-0000-0000-000014000000}"/>
    <hyperlink ref="F23" r:id="rId21" xr:uid="{00000000-0004-0000-0000-000015000000}"/>
    <hyperlink ref="F25" r:id="rId22" xr:uid="{00000000-0004-0000-0000-000017000000}"/>
    <hyperlink ref="F26" r:id="rId23" xr:uid="{00000000-0004-0000-0000-000018000000}"/>
    <hyperlink ref="F27" r:id="rId24" xr:uid="{00000000-0004-0000-0000-000019000000}"/>
    <hyperlink ref="F28" r:id="rId25" xr:uid="{00000000-0004-0000-0000-00001A000000}"/>
    <hyperlink ref="F30" r:id="rId26" xr:uid="{00000000-0004-0000-0000-00001C000000}"/>
    <hyperlink ref="F31" r:id="rId27" xr:uid="{00000000-0004-0000-0000-00001D000000}"/>
    <hyperlink ref="F32" r:id="rId28" xr:uid="{00000000-0004-0000-0000-00001E000000}"/>
    <hyperlink ref="F33" r:id="rId29" xr:uid="{00000000-0004-0000-0000-00001F000000}"/>
    <hyperlink ref="F34" r:id="rId30" xr:uid="{00000000-0004-0000-0000-000020000000}"/>
    <hyperlink ref="F35" r:id="rId31" xr:uid="{00000000-0004-0000-0000-000021000000}"/>
    <hyperlink ref="F38" r:id="rId32" xr:uid="{00000000-0004-0000-0000-000022000000}"/>
    <hyperlink ref="F39" r:id="rId33" xr:uid="{00000000-0004-0000-0000-000023000000}"/>
    <hyperlink ref="F41" r:id="rId34" xr:uid="{00000000-0004-0000-0000-000024000000}"/>
    <hyperlink ref="F42" r:id="rId35" xr:uid="{00000000-0004-0000-0000-000025000000}"/>
    <hyperlink ref="F43" r:id="rId36" xr:uid="{00000000-0004-0000-0000-000026000000}"/>
    <hyperlink ref="F45" r:id="rId37" xr:uid="{00000000-0004-0000-0000-000027000000}"/>
    <hyperlink ref="F47" r:id="rId38" xr:uid="{00000000-0004-0000-0000-000029000000}"/>
    <hyperlink ref="F48" r:id="rId39" xr:uid="{00000000-0004-0000-0000-00002A000000}"/>
    <hyperlink ref="F49" r:id="rId40" xr:uid="{00000000-0004-0000-0000-00002B000000}"/>
    <hyperlink ref="F50" r:id="rId41" xr:uid="{00000000-0004-0000-0000-00002C000000}"/>
    <hyperlink ref="F51" r:id="rId42" xr:uid="{00000000-0004-0000-0000-00002E000000}"/>
    <hyperlink ref="F52" r:id="rId43" xr:uid="{00000000-0004-0000-0000-00002F000000}"/>
    <hyperlink ref="F53" r:id="rId44" xr:uid="{00000000-0004-0000-0000-000030000000}"/>
    <hyperlink ref="F54" r:id="rId45" xr:uid="{00000000-0004-0000-0000-000031000000}"/>
    <hyperlink ref="F55" r:id="rId46" xr:uid="{00000000-0004-0000-0000-000032000000}"/>
    <hyperlink ref="F56" r:id="rId47" xr:uid="{00000000-0004-0000-0000-000033000000}"/>
    <hyperlink ref="F57" r:id="rId48" xr:uid="{00000000-0004-0000-0000-000034000000}"/>
    <hyperlink ref="F58" r:id="rId49" xr:uid="{00000000-0004-0000-0000-000035000000}"/>
    <hyperlink ref="F59" r:id="rId50" xr:uid="{00000000-0004-0000-0000-000036000000}"/>
    <hyperlink ref="F60" r:id="rId51" xr:uid="{00000000-0004-0000-0000-000037000000}"/>
    <hyperlink ref="F61" r:id="rId52" xr:uid="{00000000-0004-0000-0000-000038000000}"/>
    <hyperlink ref="F62" r:id="rId53" xr:uid="{00000000-0004-0000-0000-000039000000}"/>
    <hyperlink ref="F63" r:id="rId54" xr:uid="{00000000-0004-0000-0000-00003A000000}"/>
    <hyperlink ref="F64" r:id="rId55" xr:uid="{00000000-0004-0000-0000-00003B000000}"/>
    <hyperlink ref="F66" r:id="rId56" xr:uid="{00000000-0004-0000-0000-00003C000000}"/>
    <hyperlink ref="F67" r:id="rId57" xr:uid="{00000000-0004-0000-0000-00003D000000}"/>
    <hyperlink ref="F68" r:id="rId58" xr:uid="{00000000-0004-0000-0000-00003E000000}"/>
    <hyperlink ref="F69" r:id="rId59" xr:uid="{00000000-0004-0000-0000-00003F000000}"/>
    <hyperlink ref="F70" r:id="rId60" xr:uid="{00000000-0004-0000-0000-000040000000}"/>
    <hyperlink ref="F71" r:id="rId61" xr:uid="{00000000-0004-0000-0000-000041000000}"/>
    <hyperlink ref="F72" r:id="rId62" xr:uid="{00000000-0004-0000-0000-000042000000}"/>
    <hyperlink ref="F73" r:id="rId63" xr:uid="{00000000-0004-0000-0000-000043000000}"/>
    <hyperlink ref="F74" r:id="rId64" xr:uid="{00000000-0004-0000-0000-000044000000}"/>
    <hyperlink ref="F75" r:id="rId65" xr:uid="{00000000-0004-0000-0000-000045000000}"/>
    <hyperlink ref="F76" r:id="rId66" xr:uid="{00000000-0004-0000-0000-000046000000}"/>
    <hyperlink ref="F77" r:id="rId67" xr:uid="{00000000-0004-0000-0000-000047000000}"/>
    <hyperlink ref="F78" r:id="rId68" xr:uid="{00000000-0004-0000-0000-000048000000}"/>
    <hyperlink ref="F79" r:id="rId69" xr:uid="{00000000-0004-0000-0000-000049000000}"/>
    <hyperlink ref="F80" r:id="rId70" xr:uid="{00000000-0004-0000-0000-00004A000000}"/>
    <hyperlink ref="F81" r:id="rId71" xr:uid="{00000000-0004-0000-0000-00004B000000}"/>
    <hyperlink ref="F82" r:id="rId72" xr:uid="{00000000-0004-0000-0000-00004C000000}"/>
    <hyperlink ref="F85" r:id="rId73" xr:uid="{00000000-0004-0000-0000-00004D000000}"/>
    <hyperlink ref="F86" r:id="rId74" xr:uid="{00000000-0004-0000-0000-00004E000000}"/>
    <hyperlink ref="F87" r:id="rId75" xr:uid="{00000000-0004-0000-0000-00004F000000}"/>
    <hyperlink ref="G88" r:id="rId76" xr:uid="{00000000-0004-0000-0000-000050000000}"/>
    <hyperlink ref="F89" r:id="rId77" xr:uid="{00000000-0004-0000-0000-000051000000}"/>
    <hyperlink ref="F90" r:id="rId78" xr:uid="{00000000-0004-0000-0000-000052000000}"/>
    <hyperlink ref="F92" r:id="rId79" xr:uid="{00000000-0004-0000-0000-000054000000}"/>
    <hyperlink ref="F93" r:id="rId80" xr:uid="{00000000-0004-0000-0000-000055000000}"/>
    <hyperlink ref="F94" r:id="rId81" xr:uid="{00000000-0004-0000-0000-000056000000}"/>
    <hyperlink ref="F95" r:id="rId82" xr:uid="{00000000-0004-0000-0000-000057000000}"/>
    <hyperlink ref="F96" r:id="rId83" xr:uid="{00000000-0004-0000-0000-000058000000}"/>
    <hyperlink ref="F97" r:id="rId84" xr:uid="{00000000-0004-0000-0000-000059000000}"/>
    <hyperlink ref="F65" r:id="rId85" xr:uid="{0EB2FA59-A4F0-4931-AC74-1782479E6BE1}"/>
    <hyperlink ref="F46" r:id="rId86" xr:uid="{88952D26-AEFD-437B-959E-89983386C006}"/>
    <hyperlink ref="F24" r:id="rId87" xr:uid="{33D867A9-5FDD-4CEF-9DAA-7D9E3A8D4F27}"/>
    <hyperlink ref="F91" r:id="rId88" xr:uid="{4E4AB053-D262-4676-89BD-3B72A37877AB}"/>
    <hyperlink ref="F13" r:id="rId89" xr:uid="{B11AE93E-D80D-447C-8D4C-7A69F8573CE0}"/>
    <hyperlink ref="F29" r:id="rId90" xr:uid="{0131482A-9820-4CC8-82D9-E723DBD4D4C5}"/>
    <hyperlink ref="F88" r:id="rId91" xr:uid="{AEEC68C3-9016-4370-A381-727F3198954E}"/>
    <hyperlink ref="F101" r:id="rId92" display="https://www.amazon.com/MECCANIXITY-Heatsink-6x6x5mm-Adhesive-Chipset/dp/B0B7F461N2?crid=YM2K80KGF0C6&amp;dib=eyJ2IjoiMSJ9.85VUhZukaDmskawPQ1DMRBnUvI1FKQ6-4ZVG92rzJuUU14BAqYoRgUVtlFIRTRQEXtgZaNVw1yrUuk7sXhX-RryQ_iT_M0veIrpnsgL2UtEeDgm7-mNOs0vbmea1LB8zMPJCzea8fLNiooMPIxRBxGAG9MkTKQ6KvcVUMYrbxoIMDuCo6vgZkM2Dh80OZLmcr-qFdCbkG1TMZz7fUd6dtIPLysiQZF3e-XNHpuSer9Y.SEVh4GTu9g_oLxybvdDUiFIzpeN6UaQxVE4DiCLfpiw&amp;dib_tag=se&amp;keywords=5mm%2Bx%2B5mm%2Bheat%2Bsink&amp;qid=1761769917&amp;sprefix=5mm%2Bx%2B5mm%2Bheat%2Bsink%2Caps%2C208&amp;sr=8-1&amp;th=1" xr:uid="{EB82B8BE-1037-458F-BBD0-88FD4B4B0C12}"/>
  </hyperlinks>
  <pageMargins left="0" right="0" top="0" bottom="0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C344BA6B0DA4BB71C19E3ABE649CE" ma:contentTypeVersion="12" ma:contentTypeDescription="Create a new document." ma:contentTypeScope="" ma:versionID="827b4a593fc986bcf465ba71aaa4490b">
  <xsd:schema xmlns:xsd="http://www.w3.org/2001/XMLSchema" xmlns:xs="http://www.w3.org/2001/XMLSchema" xmlns:p="http://schemas.microsoft.com/office/2006/metadata/properties" xmlns:ns2="b367095e-d7b3-45e2-91c8-745e884b9a97" xmlns:ns3="28fab7e5-47aa-4bbc-997e-71101243f245" targetNamespace="http://schemas.microsoft.com/office/2006/metadata/properties" ma:root="true" ma:fieldsID="96db30903269bea0e21a004e10ba2afd" ns2:_="" ns3:_="">
    <xsd:import namespace="b367095e-d7b3-45e2-91c8-745e884b9a97"/>
    <xsd:import namespace="28fab7e5-47aa-4bbc-997e-71101243f2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7095e-d7b3-45e2-91c8-745e884b9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ab7e5-47aa-4bbc-997e-71101243f2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592a56-bdee-4f47-9226-d5394f92baa8}" ma:internalName="TaxCatchAll" ma:showField="CatchAllData" ma:web="28fab7e5-47aa-4bbc-997e-71101243f2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fab7e5-47aa-4bbc-997e-71101243f245" xsi:nil="true"/>
    <lcf76f155ced4ddcb4097134ff3c332f xmlns="b367095e-d7b3-45e2-91c8-745e884b9a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CC3568-7B5A-4C9B-A636-09235A0F9680}"/>
</file>

<file path=customXml/itemProps2.xml><?xml version="1.0" encoding="utf-8"?>
<ds:datastoreItem xmlns:ds="http://schemas.openxmlformats.org/officeDocument/2006/customXml" ds:itemID="{D6DB6E38-CE72-44E7-ADDA-90D1147F6779}"/>
</file>

<file path=customXml/itemProps3.xml><?xml version="1.0" encoding="utf-8"?>
<ds:datastoreItem xmlns:ds="http://schemas.openxmlformats.org/officeDocument/2006/customXml" ds:itemID="{FDDB7B6E-500B-4BD8-90D4-7A92DDD25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Rivera, Diego</cp:lastModifiedBy>
  <cp:revision/>
  <dcterms:created xsi:type="dcterms:W3CDTF">2025-09-24T20:27:14Z</dcterms:created>
  <dcterms:modified xsi:type="dcterms:W3CDTF">2026-04-18T02:41:40Z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0x010100982C344BA6B0DA4BB71C19E3ABE649CE</vt:lpwstr>
  </property>
  <property fmtid="{D5CDD505-2E9C-101B-9397-08002B2CF9AE}" pid="3" name="MediaServiceImageTags">
    <vt:lpwstr/>
  </property>
</Properties>
</file>